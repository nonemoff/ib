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other\Education\ib\"/>
    </mc:Choice>
  </mc:AlternateContent>
  <xr:revisionPtr revIDLastSave="0" documentId="13_ncr:1_{FA03BAD3-563C-4835-87C6-1716A5DD0BF5}" xr6:coauthVersionLast="47" xr6:coauthVersionMax="47" xr10:uidLastSave="{00000000-0000-0000-0000-000000000000}"/>
  <bookViews>
    <workbookView xWindow="-120" yWindow="-120" windowWidth="29040" windowHeight="15840" xr2:uid="{9E5C7B1F-9CC7-48EC-86FA-70E46418FE89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20" i="2" l="1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1" i="2"/>
  <c r="AA3" i="2"/>
</calcChain>
</file>

<file path=xl/sharedStrings.xml><?xml version="1.0" encoding="utf-8"?>
<sst xmlns="http://schemas.openxmlformats.org/spreadsheetml/2006/main" count="275" uniqueCount="128">
  <si>
    <t>ОАО «СИБНЕФТЕБАНК»;</t>
  </si>
  <si>
    <t>«СИБСОЦБАНК» ООО;</t>
  </si>
  <si>
    <t>Банк «СИБЭС» (АО);</t>
  </si>
  <si>
    <t>ОАО ГБ «Симбирск»;</t>
  </si>
  <si>
    <t>ПАО Банк Синара;</t>
  </si>
  <si>
    <t>ООО КБ «СИНКО-БАНК»;</t>
  </si>
  <si>
    <t>КБ «СИСТЕМА» ООО;</t>
  </si>
  <si>
    <t>АО «Сити Инвест Банк»;</t>
  </si>
  <si>
    <t>АО КБ «Ситибанк»;</t>
  </si>
  <si>
    <t>АКБ «СЛАВИЯ» (АО);</t>
  </si>
  <si>
    <t>АО НКБ «СЛАВЯНБАНК»;</t>
  </si>
  <si>
    <t>АКБ «СЛАВЯНСКИЙ БАНК» (ЗАО);</t>
  </si>
  <si>
    <t>АО «СМАРТБАНК»;</t>
  </si>
  <si>
    <t>Банк «Смолевич» (ПАО);</t>
  </si>
  <si>
    <t>ОАО «Смоленский Банк»;</t>
  </si>
  <si>
    <t>Банк «Снежинский» АО;</t>
  </si>
  <si>
    <t>«Соверен Банк» (АО);</t>
  </si>
  <si>
    <t>АО Банк «Советский»;</t>
  </si>
  <si>
    <t>ПАО «Совкомбанк»;</t>
  </si>
  <si>
    <t>ОАО Банк «СОДРУЖЕСТВО».</t>
  </si>
  <si>
    <t>На Наименование</t>
  </si>
  <si>
    <t>№ п.п</t>
  </si>
  <si>
    <t>Вид</t>
  </si>
  <si>
    <t>Регистрационный номер</t>
  </si>
  <si>
    <t>ОГРН</t>
  </si>
  <si>
    <t>Организационно-правовая форма</t>
  </si>
  <si>
    <t>Дата регистрации</t>
  </si>
  <si>
    <t>Статус лицензии</t>
  </si>
  <si>
    <t>Местонахождение</t>
  </si>
  <si>
    <t>Лицензия ФСБ (номер лицензии)</t>
  </si>
  <si>
    <t>Лицензия ФСБ (дата регистрации)</t>
  </si>
  <si>
    <t>Лицензия ФСБ (виды работ)</t>
  </si>
  <si>
    <t>Лицензия ФСТЭК</t>
  </si>
  <si>
    <t>Регистрация РКН (номер)</t>
  </si>
  <si>
    <t>Регистрация РКН (дата)</t>
  </si>
  <si>
    <t>SWIFT</t>
  </si>
  <si>
    <t>63 ФЗ</t>
  </si>
  <si>
    <t>161 ФЗ</t>
  </si>
  <si>
    <t>МИР/НСПК</t>
  </si>
  <si>
    <t>СБП</t>
  </si>
  <si>
    <t>АБИСС/ СТО БР</t>
  </si>
  <si>
    <t>PCI DSS</t>
  </si>
  <si>
    <t>ISO 27000</t>
  </si>
  <si>
    <t>Рейтинг</t>
  </si>
  <si>
    <t>-</t>
  </si>
  <si>
    <t>Лицензия отозвана приказом Банка России ОД-1028 от 13.12.2013</t>
  </si>
  <si>
    <t>Лицензия отозвана приказом Банка России ОД-3162 от 11.11.2014</t>
  </si>
  <si>
    <t>Лицензия отозвана приказом Банка России ОД-1134 от 28.04.2017</t>
  </si>
  <si>
    <t>Лицензия отозвана приказом Банка России ОД-596 от 03.12.2010</t>
  </si>
  <si>
    <t>Лицензия отозвана приказом Банка России ОД-1013 от 28.03.2016</t>
  </si>
  <si>
    <t>Лицензия отозвана приказом Банка России ОД-2371 от 08.09.2015</t>
  </si>
  <si>
    <t>Лицензия отозвана приказом Банка России ОД-1181 от 08.04.2016</t>
  </si>
  <si>
    <t>Лицензия отозвана приказом Банка России ОД-1654 от 03.07.2018</t>
  </si>
  <si>
    <t>Лицензия отозвана приказом Банка России ОД-2832 от 16.10.2015</t>
  </si>
  <si>
    <t>1022200525819</t>
  </si>
  <si>
    <t xml:space="preserve">	1026600000460	</t>
  </si>
  <si>
    <t>1027739563610</t>
  </si>
  <si>
    <t>1027739919954</t>
  </si>
  <si>
    <t>1027800000095</t>
  </si>
  <si>
    <t>1027700431296</t>
  </si>
  <si>
    <t>1027739228758</t>
  </si>
  <si>
    <t>1025300000175</t>
  </si>
  <si>
    <t>1027400009064</t>
  </si>
  <si>
    <t>1144400000425</t>
  </si>
  <si>
    <t>ООО (Паевое)</t>
  </si>
  <si>
    <t>ПАО</t>
  </si>
  <si>
    <t>НПАО</t>
  </si>
  <si>
    <t>656049, Алтайский край, г.Барнаул, пр-кт Ленина,д. 61а</t>
  </si>
  <si>
    <t>107045, г. Москва, Последний переулок, д.11, стр.1</t>
  </si>
  <si>
    <t>121096, г. Москва, ул. Василисы Кожиной, д. 1, этаж 1, комнаты 1-30</t>
  </si>
  <si>
    <t>191187, г. Санкт-Петербург, ул. Шпалерная, д.2/4, литер А</t>
  </si>
  <si>
    <t>125047, г. Москва, ул. Гашека, д. 8-10, стр. 1</t>
  </si>
  <si>
    <t>117292, г. Москва, ул. Кедрова, д.5А</t>
  </si>
  <si>
    <t>173004 Новгородская обл., г.Великий Новгород, ул.Черемнова-Конюхова, д.12</t>
  </si>
  <si>
    <t>456770, Челябинская область, г. Снежинск, ул. Васильева, д. 19</t>
  </si>
  <si>
    <t>156000, г. Кострома, пр. Текстильщиков, д. 46</t>
  </si>
  <si>
    <t>191/Н</t>
  </si>
  <si>
    <t>12, 21, 28</t>
  </si>
  <si>
    <t>Л051-00105- 66/00007432/Н</t>
  </si>
  <si>
    <t>12, 13, 14, 15, 20, 21, 22, 23, 24, 25, 26, 27, 28</t>
  </si>
  <si>
    <t>14737/Н</t>
  </si>
  <si>
    <t>12, 13, 20, 21, 22, 25, 26</t>
  </si>
  <si>
    <t>14022/Н</t>
  </si>
  <si>
    <t>12, 13, 14, 20, 21, 22, 23, 25, 26, 28</t>
  </si>
  <si>
    <t>978/Н</t>
  </si>
  <si>
    <t>12, 13, 14, 15, 20, 21, 22, 23,
24, 25, 26, 27, 28</t>
  </si>
  <si>
    <t>14460/Н</t>
  </si>
  <si>
    <t>12, 13, 14, 15, 20, 21, 22, 25,
26</t>
  </si>
  <si>
    <t>13383/Н</t>
  </si>
  <si>
    <t>12, 13, 14, 15, 20, 21, 22, 23,
25, 26, 28</t>
  </si>
  <si>
    <t>593/Н</t>
  </si>
  <si>
    <t>12, 13, 14, 20, 25, 26, 28</t>
  </si>
  <si>
    <t>268/Н</t>
  </si>
  <si>
    <t>12, 13, 14, 15, 21, 24, 28</t>
  </si>
  <si>
    <t>104/Н</t>
  </si>
  <si>
    <t>2, 8, 12, 13, 14, 15, 20, 21, 22,
23, 24, 25, 26, 28</t>
  </si>
  <si>
    <t>ИНН</t>
  </si>
  <si>
    <t>7710401987 </t>
  </si>
  <si>
    <t>7423004062 </t>
  </si>
  <si>
    <t>4401116480 </t>
  </si>
  <si>
    <t>09-0070283</t>
  </si>
  <si>
    <t>11-0170765</t>
  </si>
  <si>
    <t>77-12-000112</t>
  </si>
  <si>
    <t>09-0043446</t>
  </si>
  <si>
    <t>11-0185438</t>
  </si>
  <si>
    <t>77-12-000819</t>
  </si>
  <si>
    <t>11-0207165</t>
  </si>
  <si>
    <t>12-0237164</t>
  </si>
  <si>
    <t>44-14-000688</t>
  </si>
  <si>
    <t>11-0170783</t>
  </si>
  <si>
    <t>SISNRU55</t>
  </si>
  <si>
    <t>MICURUMM</t>
  </si>
  <si>
    <t>SNKBRUMM</t>
  </si>
  <si>
    <t>SISERUMM</t>
  </si>
  <si>
    <t>CITVRU2P</t>
  </si>
  <si>
    <t>CITIRUM</t>
  </si>
  <si>
    <t>SJSMRUMM</t>
  </si>
  <si>
    <t>SLABRU21</t>
  </si>
  <si>
    <t>SNEZRU4C</t>
  </si>
  <si>
    <t>COMKRUMMIBD</t>
  </si>
  <si>
    <t>Лояльность</t>
  </si>
  <si>
    <t>Есть</t>
  </si>
  <si>
    <t>да</t>
  </si>
  <si>
    <t>нет</t>
  </si>
  <si>
    <t>ТОП 3</t>
  </si>
  <si>
    <t>ПАО "Совкомбанк"</t>
  </si>
  <si>
    <t>ПАО Банк Синара</t>
  </si>
  <si>
    <t>АО КБ "Ситибанк"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</si>
</sst>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2"/>
      <color rgb="FF2B2E33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Border="1"/>
    <xf numFmtId="49" fontId="0" fillId="0" borderId="0" xfId="0" applyNumberFormat="1" applyBorder="1"/>
    <xf numFmtId="49" fontId="0" fillId="0" borderId="0" xfId="0" applyNumberFormat="1"/>
    <xf numFmtId="0" fontId="0" fillId="0" borderId="0" xfId="0" applyAlignment="1"/>
    <xf numFmtId="0" fontId="0" fillId="0" borderId="0" xfId="0" applyBorder="1" applyAlignment="1"/>
    <xf numFmtId="0" fontId="1" fillId="0" borderId="0" xfId="0" applyFont="1" applyAlignment="1">
      <alignment horizontal="left"/>
    </xf>
    <xf numFmtId="0" fontId="1" fillId="0" borderId="0" xfId="0" applyFont="1" applyBorder="1" applyAlignment="1">
      <alignment horizontal="left"/>
    </xf>
    <xf numFmtId="0" fontId="2" fillId="0" borderId="1" xfId="0" applyFont="1" applyBorder="1" applyAlignment="1">
      <alignment wrapText="1"/>
    </xf>
    <xf numFmtId="49" fontId="2" fillId="0" borderId="1" xfId="0" applyNumberFormat="1" applyFont="1" applyBorder="1" applyAlignment="1">
      <alignment wrapText="1"/>
    </xf>
    <xf numFmtId="0" fontId="2" fillId="0" borderId="1" xfId="0" applyFont="1" applyBorder="1" applyAlignment="1"/>
    <xf numFmtId="0" fontId="2" fillId="0" borderId="1" xfId="0" applyFont="1" applyBorder="1" applyAlignment="1">
      <alignment horizontal="left" wrapText="1"/>
    </xf>
    <xf numFmtId="0" fontId="2" fillId="0" borderId="1" xfId="0" applyFont="1" applyFill="1" applyBorder="1" applyAlignment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/>
    <xf numFmtId="49" fontId="2" fillId="0" borderId="1" xfId="0" applyNumberFormat="1" applyFont="1" applyBorder="1" applyAlignment="1"/>
    <xf numFmtId="14" fontId="3" fillId="0" borderId="1" xfId="0" applyNumberFormat="1" applyFont="1" applyBorder="1" applyAlignment="1"/>
    <xf numFmtId="14" fontId="2" fillId="0" borderId="1" xfId="0" applyNumberFormat="1" applyFont="1" applyBorder="1" applyAlignment="1"/>
    <xf numFmtId="0" fontId="2" fillId="0" borderId="1" xfId="0" applyFont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0" fontId="2" fillId="3" borderId="1" xfId="0" applyFont="1" applyFill="1" applyBorder="1" applyAlignment="1">
      <alignment horizontal="left"/>
    </xf>
    <xf numFmtId="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49" fontId="2" fillId="0" borderId="1" xfId="0" applyNumberFormat="1" applyFont="1" applyBorder="1" applyAlignment="1">
      <alignment horizontal="center" wrapText="1"/>
    </xf>
    <xf numFmtId="0" fontId="2" fillId="0" borderId="1" xfId="0" applyNumberFormat="1" applyFont="1" applyBorder="1" applyAlignment="1">
      <alignment horizontal="center" wrapText="1"/>
    </xf>
    <xf numFmtId="0" fontId="0" fillId="0" borderId="0" xfId="0" applyAlignment="1">
      <alignment horizontal="center" wrapText="1"/>
    </xf>
    <xf numFmtId="0" fontId="2" fillId="0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NumberFormat="1" applyFont="1" applyBorder="1" applyAlignment="1">
      <alignment horizontal="center"/>
    </xf>
    <xf numFmtId="0" fontId="3" fillId="2" borderId="1" xfId="0" applyFont="1" applyFill="1" applyBorder="1" applyAlignment="1">
      <alignment horizontal="center" vertical="top"/>
    </xf>
    <xf numFmtId="0" fontId="0" fillId="0" borderId="0" xfId="0" applyBorder="1" applyAlignment="1">
      <alignment horizontal="center"/>
    </xf>
    <xf numFmtId="49" fontId="0" fillId="0" borderId="0" xfId="0" applyNumberFormat="1" applyBorder="1" applyAlignment="1">
      <alignment horizontal="center"/>
    </xf>
    <xf numFmtId="0" fontId="0" fillId="0" borderId="0" xfId="0" applyNumberFormat="1" applyBorder="1" applyAlignment="1">
      <alignment horizontal="center"/>
    </xf>
    <xf numFmtId="0" fontId="1" fillId="0" borderId="0" xfId="0" applyFont="1" applyBorder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2" fillId="4" borderId="1" xfId="0" applyFont="1" applyFill="1" applyBorder="1" applyAlignment="1"/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/>
    <xf numFmtId="49" fontId="2" fillId="4" borderId="1" xfId="0" applyNumberFormat="1" applyFont="1" applyFill="1" applyBorder="1" applyAlignment="1"/>
    <xf numFmtId="14" fontId="3" fillId="4" borderId="1" xfId="0" applyNumberFormat="1" applyFont="1" applyFill="1" applyBorder="1" applyAlignment="1"/>
    <xf numFmtId="14" fontId="2" fillId="4" borderId="1" xfId="0" applyNumberFormat="1" applyFont="1" applyFill="1" applyBorder="1" applyAlignment="1"/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/>
    <xf numFmtId="14" fontId="2" fillId="4" borderId="1" xfId="0" applyNumberFormat="1" applyFont="1" applyFill="1" applyBorder="1" applyAlignment="1">
      <alignment horizontal="center"/>
    </xf>
    <xf numFmtId="0" fontId="3" fillId="4" borderId="1" xfId="0" applyFont="1" applyFill="1" applyBorder="1" applyAlignment="1">
      <alignment vertical="top"/>
    </xf>
    <xf numFmtId="0" fontId="4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0" xfId="0" applyFill="1" applyAlignment="1">
      <alignment wrapText="1"/>
    </xf>
    <xf numFmtId="0" fontId="0" fillId="0" borderId="0" xfId="0" applyFill="1" applyAlignment="1"/>
    <xf numFmtId="0" fontId="0" fillId="0" borderId="0" xfId="0" applyFill="1" applyBorder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347E9-A83F-4FDB-BBC0-2849E855AB04}">
  <dimension ref="A1:Z27"/>
  <sheetViews>
    <sheetView tabSelected="1" zoomScaleNormal="100" workbookViewId="0">
      <pane xSplit="1" topLeftCell="B1" activePane="topRight" state="frozen"/>
      <selection pane="topRight" activeCell="F23" sqref="F23"/>
    </sheetView>
  </sheetViews>
  <sheetFormatPr defaultRowHeight="15.75" x14ac:dyDescent="0.25"/>
  <cols>
    <col min="1" max="1" width="30.7109375" customWidth="1"/>
    <col min="2" max="3" width="6.85546875" customWidth="1"/>
    <col min="4" max="4" width="22.42578125" customWidth="1"/>
    <col min="5" max="5" width="16" style="3" customWidth="1"/>
    <col min="6" max="6" width="18.28515625" customWidth="1"/>
    <col min="7" max="7" width="14.7109375" customWidth="1"/>
    <col min="8" max="8" width="11.28515625" customWidth="1"/>
    <col min="9" max="9" width="72.5703125" customWidth="1"/>
    <col min="10" max="10" width="28.85546875" customWidth="1"/>
    <col min="11" max="11" width="20.5703125" customWidth="1"/>
    <col min="12" max="12" width="45.140625" style="4" customWidth="1"/>
    <col min="13" max="13" width="9.7109375" customWidth="1"/>
    <col min="14" max="14" width="14.140625" customWidth="1"/>
    <col min="15" max="15" width="14" customWidth="1"/>
    <col min="16" max="16" width="14.7109375" style="6" customWidth="1"/>
    <col min="17" max="17" width="17.42578125" customWidth="1"/>
    <col min="20" max="20" width="13.42578125" customWidth="1"/>
    <col min="27" max="16384" width="9.140625" style="58"/>
  </cols>
  <sheetData>
    <row r="1" spans="1:26" s="55" customFormat="1" ht="34.15" customHeight="1" x14ac:dyDescent="0.25">
      <c r="A1" s="8" t="s">
        <v>20</v>
      </c>
      <c r="B1" s="8" t="s">
        <v>21</v>
      </c>
      <c r="C1" s="8" t="s">
        <v>22</v>
      </c>
      <c r="D1" s="8" t="s">
        <v>23</v>
      </c>
      <c r="E1" s="9" t="s">
        <v>24</v>
      </c>
      <c r="F1" s="8" t="s">
        <v>25</v>
      </c>
      <c r="G1" s="8" t="s">
        <v>26</v>
      </c>
      <c r="H1" s="8" t="s">
        <v>27</v>
      </c>
      <c r="I1" s="8" t="s">
        <v>28</v>
      </c>
      <c r="J1" s="8" t="s">
        <v>29</v>
      </c>
      <c r="K1" s="8" t="s">
        <v>30</v>
      </c>
      <c r="L1" s="10" t="s">
        <v>31</v>
      </c>
      <c r="M1" s="8" t="s">
        <v>32</v>
      </c>
      <c r="N1" s="8" t="s">
        <v>33</v>
      </c>
      <c r="O1" s="8" t="s">
        <v>34</v>
      </c>
      <c r="P1" s="11" t="s">
        <v>96</v>
      </c>
      <c r="Q1" s="8" t="s">
        <v>35</v>
      </c>
      <c r="R1" s="8" t="s">
        <v>36</v>
      </c>
      <c r="S1" s="8" t="s">
        <v>37</v>
      </c>
      <c r="T1" s="8" t="s">
        <v>38</v>
      </c>
      <c r="U1" s="8" t="s">
        <v>39</v>
      </c>
      <c r="V1" s="8" t="s">
        <v>40</v>
      </c>
      <c r="W1" s="8" t="s">
        <v>41</v>
      </c>
      <c r="X1" s="8" t="s">
        <v>42</v>
      </c>
      <c r="Y1" s="8"/>
      <c r="Z1" s="8" t="s">
        <v>43</v>
      </c>
    </row>
    <row r="2" spans="1:26" s="56" customFormat="1" ht="18.600000000000001" customHeight="1" x14ac:dyDescent="0.25">
      <c r="A2" s="12" t="s">
        <v>0</v>
      </c>
      <c r="B2" s="21" t="s">
        <v>45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spans="1:26" s="56" customFormat="1" ht="18.600000000000001" customHeight="1" x14ac:dyDescent="0.25">
      <c r="A3" s="12" t="s">
        <v>1</v>
      </c>
      <c r="B3" s="13">
        <v>522</v>
      </c>
      <c r="C3" s="14"/>
      <c r="D3" s="15">
        <v>2015</v>
      </c>
      <c r="E3" s="16" t="s">
        <v>54</v>
      </c>
      <c r="F3" s="10" t="s">
        <v>64</v>
      </c>
      <c r="G3" s="17">
        <v>33837</v>
      </c>
      <c r="H3" s="15"/>
      <c r="I3" s="15" t="s">
        <v>67</v>
      </c>
      <c r="J3" s="10" t="s">
        <v>76</v>
      </c>
      <c r="K3" s="18">
        <v>42829</v>
      </c>
      <c r="L3" s="10" t="s">
        <v>77</v>
      </c>
      <c r="M3" s="13" t="s">
        <v>44</v>
      </c>
      <c r="N3" s="13" t="s">
        <v>109</v>
      </c>
      <c r="O3" s="13" t="s">
        <v>109</v>
      </c>
      <c r="P3" s="19">
        <v>7202072360</v>
      </c>
      <c r="Q3" s="10" t="s">
        <v>110</v>
      </c>
      <c r="R3" s="10" t="s">
        <v>122</v>
      </c>
      <c r="S3" s="10" t="s">
        <v>122</v>
      </c>
      <c r="T3" s="10" t="s">
        <v>120</v>
      </c>
      <c r="U3" s="10" t="s">
        <v>121</v>
      </c>
      <c r="V3" s="10" t="s">
        <v>123</v>
      </c>
      <c r="W3" s="10" t="s">
        <v>122</v>
      </c>
      <c r="X3" s="10" t="s">
        <v>123</v>
      </c>
      <c r="Y3" s="10"/>
      <c r="Z3" s="10">
        <v>18</v>
      </c>
    </row>
    <row r="4" spans="1:26" s="56" customFormat="1" ht="18.600000000000001" customHeight="1" x14ac:dyDescent="0.25">
      <c r="A4" s="12" t="s">
        <v>2</v>
      </c>
      <c r="B4" s="21" t="s">
        <v>47</v>
      </c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spans="1:26" s="56" customFormat="1" ht="18.600000000000001" customHeight="1" x14ac:dyDescent="0.25">
      <c r="A5" s="12" t="s">
        <v>3</v>
      </c>
      <c r="B5" s="21" t="s">
        <v>46</v>
      </c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spans="1:26" s="56" customFormat="1" ht="18.600000000000001" customHeight="1" x14ac:dyDescent="0.25">
      <c r="A6" s="41" t="s">
        <v>4</v>
      </c>
      <c r="B6" s="42">
        <v>525</v>
      </c>
      <c r="C6" s="43"/>
      <c r="D6" s="44">
        <v>705</v>
      </c>
      <c r="E6" s="45" t="s">
        <v>55</v>
      </c>
      <c r="F6" s="44" t="s">
        <v>65</v>
      </c>
      <c r="G6" s="46">
        <v>33179</v>
      </c>
      <c r="H6" s="41"/>
      <c r="I6" s="44" t="s">
        <v>67</v>
      </c>
      <c r="J6" s="41" t="s">
        <v>78</v>
      </c>
      <c r="K6" s="47">
        <v>44643</v>
      </c>
      <c r="L6" s="41" t="s">
        <v>79</v>
      </c>
      <c r="M6" s="42" t="s">
        <v>44</v>
      </c>
      <c r="N6" s="42" t="s">
        <v>101</v>
      </c>
      <c r="O6" s="47">
        <v>40541</v>
      </c>
      <c r="P6" s="48">
        <v>6608003052</v>
      </c>
      <c r="Q6" s="49" t="s">
        <v>111</v>
      </c>
      <c r="R6" s="41" t="s">
        <v>122</v>
      </c>
      <c r="S6" s="41" t="s">
        <v>122</v>
      </c>
      <c r="T6" s="41" t="s">
        <v>120</v>
      </c>
      <c r="U6" s="41" t="s">
        <v>121</v>
      </c>
      <c r="V6" s="41" t="s">
        <v>123</v>
      </c>
      <c r="W6" s="41" t="s">
        <v>122</v>
      </c>
      <c r="X6" s="41" t="s">
        <v>123</v>
      </c>
      <c r="Y6" s="41"/>
      <c r="Z6" s="41">
        <v>22</v>
      </c>
    </row>
    <row r="7" spans="1:26" s="56" customFormat="1" ht="18.600000000000001" customHeight="1" x14ac:dyDescent="0.25">
      <c r="A7" s="12" t="s">
        <v>5</v>
      </c>
      <c r="B7" s="13">
        <v>526</v>
      </c>
      <c r="C7" s="14"/>
      <c r="D7" s="15">
        <v>2838</v>
      </c>
      <c r="E7" s="16" t="s">
        <v>56</v>
      </c>
      <c r="F7" s="15" t="s">
        <v>64</v>
      </c>
      <c r="G7" s="17">
        <v>34470</v>
      </c>
      <c r="H7" s="10"/>
      <c r="I7" s="15" t="s">
        <v>68</v>
      </c>
      <c r="J7" s="10" t="s">
        <v>80</v>
      </c>
      <c r="K7" s="18">
        <v>42328</v>
      </c>
      <c r="L7" s="10" t="s">
        <v>81</v>
      </c>
      <c r="M7" s="13" t="s">
        <v>44</v>
      </c>
      <c r="N7" s="13" t="s">
        <v>100</v>
      </c>
      <c r="O7" s="20">
        <v>40091</v>
      </c>
      <c r="P7" s="19">
        <v>7703004072</v>
      </c>
      <c r="Q7" s="10" t="s">
        <v>112</v>
      </c>
      <c r="R7" s="10" t="s">
        <v>122</v>
      </c>
      <c r="S7" s="10" t="s">
        <v>122</v>
      </c>
      <c r="T7" s="10" t="s">
        <v>120</v>
      </c>
      <c r="U7" s="10" t="s">
        <v>121</v>
      </c>
      <c r="V7" s="10" t="s">
        <v>123</v>
      </c>
      <c r="W7" s="10" t="s">
        <v>122</v>
      </c>
      <c r="X7" s="10" t="s">
        <v>123</v>
      </c>
      <c r="Y7" s="10"/>
      <c r="Z7" s="10">
        <v>18</v>
      </c>
    </row>
    <row r="8" spans="1:26" s="56" customFormat="1" ht="18.600000000000001" customHeight="1" x14ac:dyDescent="0.25">
      <c r="A8" s="12" t="s">
        <v>6</v>
      </c>
      <c r="B8" s="13">
        <v>527</v>
      </c>
      <c r="C8" s="14"/>
      <c r="D8" s="10">
        <v>2846</v>
      </c>
      <c r="E8" s="16" t="s">
        <v>57</v>
      </c>
      <c r="F8" s="15" t="s">
        <v>64</v>
      </c>
      <c r="G8" s="17">
        <v>34471</v>
      </c>
      <c r="H8" s="10"/>
      <c r="I8" s="15" t="s">
        <v>69</v>
      </c>
      <c r="J8" s="10" t="s">
        <v>82</v>
      </c>
      <c r="K8" s="18">
        <v>41997</v>
      </c>
      <c r="L8" s="10" t="s">
        <v>83</v>
      </c>
      <c r="M8" s="13" t="s">
        <v>44</v>
      </c>
      <c r="N8" s="13" t="s">
        <v>102</v>
      </c>
      <c r="O8" s="20">
        <v>41120</v>
      </c>
      <c r="P8" s="19">
        <v>7705003797</v>
      </c>
      <c r="Q8" s="10" t="s">
        <v>113</v>
      </c>
      <c r="R8" s="10" t="s">
        <v>123</v>
      </c>
      <c r="S8" s="10" t="s">
        <v>122</v>
      </c>
      <c r="T8" s="10"/>
      <c r="U8" s="10"/>
      <c r="V8" s="10" t="s">
        <v>123</v>
      </c>
      <c r="W8" s="10"/>
      <c r="X8" s="10" t="s">
        <v>123</v>
      </c>
      <c r="Y8" s="10"/>
      <c r="Z8" s="10">
        <v>15</v>
      </c>
    </row>
    <row r="9" spans="1:26" s="56" customFormat="1" ht="18.600000000000001" customHeight="1" x14ac:dyDescent="0.25">
      <c r="A9" s="41" t="s">
        <v>7</v>
      </c>
      <c r="B9" s="42">
        <v>528</v>
      </c>
      <c r="C9" s="43"/>
      <c r="D9" s="44">
        <v>3194</v>
      </c>
      <c r="E9" s="45" t="s">
        <v>58</v>
      </c>
      <c r="F9" s="44" t="s">
        <v>66</v>
      </c>
      <c r="G9" s="46">
        <v>34698</v>
      </c>
      <c r="H9" s="41"/>
      <c r="I9" s="44" t="s">
        <v>70</v>
      </c>
      <c r="J9" s="41" t="s">
        <v>84</v>
      </c>
      <c r="K9" s="47">
        <v>42353</v>
      </c>
      <c r="L9" s="41" t="s">
        <v>85</v>
      </c>
      <c r="M9" s="42" t="s">
        <v>44</v>
      </c>
      <c r="N9" s="42" t="s">
        <v>103</v>
      </c>
      <c r="O9" s="50">
        <v>39863</v>
      </c>
      <c r="P9" s="48">
        <v>7831001422</v>
      </c>
      <c r="Q9" s="41" t="s">
        <v>114</v>
      </c>
      <c r="R9" s="41" t="s">
        <v>122</v>
      </c>
      <c r="S9" s="41" t="s">
        <v>122</v>
      </c>
      <c r="T9" s="41" t="s">
        <v>120</v>
      </c>
      <c r="U9" s="41" t="s">
        <v>121</v>
      </c>
      <c r="V9" s="41" t="s">
        <v>123</v>
      </c>
      <c r="W9" s="41" t="s">
        <v>122</v>
      </c>
      <c r="X9" s="41" t="s">
        <v>123</v>
      </c>
      <c r="Y9" s="41"/>
      <c r="Z9" s="41">
        <v>21</v>
      </c>
    </row>
    <row r="10" spans="1:26" s="56" customFormat="1" ht="18.600000000000001" customHeight="1" x14ac:dyDescent="0.25">
      <c r="A10" s="41" t="s">
        <v>8</v>
      </c>
      <c r="B10" s="42">
        <v>529</v>
      </c>
      <c r="C10" s="43"/>
      <c r="D10" s="44">
        <v>2557</v>
      </c>
      <c r="E10" s="45" t="s">
        <v>59</v>
      </c>
      <c r="F10" s="44" t="s">
        <v>66</v>
      </c>
      <c r="G10" s="46">
        <v>34698</v>
      </c>
      <c r="H10" s="41"/>
      <c r="I10" s="44" t="s">
        <v>71</v>
      </c>
      <c r="J10" s="41" t="s">
        <v>86</v>
      </c>
      <c r="K10" s="47">
        <v>42202</v>
      </c>
      <c r="L10" s="41" t="s">
        <v>87</v>
      </c>
      <c r="M10" s="42" t="s">
        <v>44</v>
      </c>
      <c r="N10" s="42" t="s">
        <v>104</v>
      </c>
      <c r="O10" s="50">
        <v>40618</v>
      </c>
      <c r="P10" s="48" t="s">
        <v>97</v>
      </c>
      <c r="Q10" s="41" t="s">
        <v>115</v>
      </c>
      <c r="R10" s="41" t="s">
        <v>122</v>
      </c>
      <c r="S10" s="41" t="s">
        <v>122</v>
      </c>
      <c r="T10" s="41" t="s">
        <v>120</v>
      </c>
      <c r="U10" s="41" t="s">
        <v>121</v>
      </c>
      <c r="V10" s="41" t="s">
        <v>122</v>
      </c>
      <c r="W10" s="41" t="s">
        <v>122</v>
      </c>
      <c r="X10" s="41" t="s">
        <v>123</v>
      </c>
      <c r="Y10" s="41"/>
      <c r="Z10" s="41">
        <v>21</v>
      </c>
    </row>
    <row r="11" spans="1:26" s="56" customFormat="1" ht="18.600000000000001" customHeight="1" x14ac:dyDescent="0.25">
      <c r="A11" s="12" t="s">
        <v>9</v>
      </c>
      <c r="B11" s="13">
        <v>530</v>
      </c>
      <c r="C11" s="14"/>
      <c r="D11" s="15">
        <v>2664</v>
      </c>
      <c r="E11" s="16" t="s">
        <v>60</v>
      </c>
      <c r="F11" s="15" t="s">
        <v>66</v>
      </c>
      <c r="G11" s="17">
        <v>34361</v>
      </c>
      <c r="H11" s="10"/>
      <c r="I11" s="15" t="s">
        <v>72</v>
      </c>
      <c r="J11" s="10" t="s">
        <v>88</v>
      </c>
      <c r="K11" s="18">
        <v>41660</v>
      </c>
      <c r="L11" s="10" t="s">
        <v>89</v>
      </c>
      <c r="M11" s="13" t="s">
        <v>44</v>
      </c>
      <c r="N11" s="13" t="s">
        <v>105</v>
      </c>
      <c r="O11" s="20">
        <v>41268</v>
      </c>
      <c r="P11" s="19">
        <v>7726000596</v>
      </c>
      <c r="Q11" s="10" t="s">
        <v>116</v>
      </c>
      <c r="R11" s="10" t="s">
        <v>123</v>
      </c>
      <c r="S11" s="10" t="s">
        <v>122</v>
      </c>
      <c r="T11" s="10" t="s">
        <v>120</v>
      </c>
      <c r="U11" s="10"/>
      <c r="V11" s="10" t="s">
        <v>123</v>
      </c>
      <c r="W11" s="10" t="s">
        <v>122</v>
      </c>
      <c r="X11" s="10" t="s">
        <v>123</v>
      </c>
      <c r="Y11" s="10"/>
      <c r="Z11" s="10">
        <v>18</v>
      </c>
    </row>
    <row r="12" spans="1:26" s="56" customFormat="1" ht="18.600000000000001" customHeight="1" x14ac:dyDescent="0.25">
      <c r="A12" s="12" t="s">
        <v>10</v>
      </c>
      <c r="B12" s="13">
        <v>531</v>
      </c>
      <c r="C12" s="14"/>
      <c r="D12" s="15">
        <v>804</v>
      </c>
      <c r="E12" s="16" t="s">
        <v>61</v>
      </c>
      <c r="F12" s="15" t="s">
        <v>66</v>
      </c>
      <c r="G12" s="17">
        <v>34361</v>
      </c>
      <c r="H12" s="10"/>
      <c r="I12" s="15" t="s">
        <v>73</v>
      </c>
      <c r="J12" s="10" t="s">
        <v>90</v>
      </c>
      <c r="K12" s="18">
        <v>41880</v>
      </c>
      <c r="L12" s="10" t="s">
        <v>91</v>
      </c>
      <c r="M12" s="13" t="s">
        <v>44</v>
      </c>
      <c r="N12" s="13" t="s">
        <v>106</v>
      </c>
      <c r="O12" s="20">
        <v>40718</v>
      </c>
      <c r="P12" s="19">
        <v>5321068480</v>
      </c>
      <c r="Q12" s="10" t="s">
        <v>117</v>
      </c>
      <c r="R12" s="10" t="s">
        <v>122</v>
      </c>
      <c r="S12" s="10" t="s">
        <v>122</v>
      </c>
      <c r="T12" s="10" t="s">
        <v>120</v>
      </c>
      <c r="U12" s="10" t="s">
        <v>121</v>
      </c>
      <c r="V12" s="10" t="s">
        <v>123</v>
      </c>
      <c r="W12" s="10" t="s">
        <v>122</v>
      </c>
      <c r="X12" s="10" t="s">
        <v>123</v>
      </c>
      <c r="Y12" s="10"/>
      <c r="Z12" s="10">
        <v>19</v>
      </c>
    </row>
    <row r="13" spans="1:26" s="56" customFormat="1" ht="18.600000000000001" customHeight="1" x14ac:dyDescent="0.25">
      <c r="A13" s="12" t="s">
        <v>11</v>
      </c>
      <c r="B13" s="21" t="s">
        <v>48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 s="56" customFormat="1" ht="18.600000000000001" customHeight="1" x14ac:dyDescent="0.25">
      <c r="A14" s="12" t="s">
        <v>12</v>
      </c>
      <c r="B14" s="21" t="s">
        <v>49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 s="56" customFormat="1" ht="18.600000000000001" customHeight="1" x14ac:dyDescent="0.25">
      <c r="A15" s="12" t="s">
        <v>13</v>
      </c>
      <c r="B15" s="21" t="s">
        <v>50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 s="56" customFormat="1" ht="18.600000000000001" customHeight="1" x14ac:dyDescent="0.25">
      <c r="A16" s="12" t="s">
        <v>14</v>
      </c>
      <c r="B16" s="21" t="s">
        <v>45</v>
      </c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 s="56" customFormat="1" ht="18.600000000000001" customHeight="1" x14ac:dyDescent="0.25">
      <c r="A17" s="12" t="s">
        <v>15</v>
      </c>
      <c r="B17" s="13">
        <v>536</v>
      </c>
      <c r="C17" s="14"/>
      <c r="D17" s="15">
        <v>1376</v>
      </c>
      <c r="E17" s="16" t="s">
        <v>62</v>
      </c>
      <c r="F17" s="15" t="s">
        <v>66</v>
      </c>
      <c r="G17" s="17">
        <v>34361</v>
      </c>
      <c r="H17" s="10"/>
      <c r="I17" s="15" t="s">
        <v>74</v>
      </c>
      <c r="J17" s="10" t="s">
        <v>92</v>
      </c>
      <c r="K17" s="18">
        <v>41935</v>
      </c>
      <c r="L17" s="10" t="s">
        <v>93</v>
      </c>
      <c r="M17" s="13" t="s">
        <v>44</v>
      </c>
      <c r="N17" s="13" t="s">
        <v>107</v>
      </c>
      <c r="O17" s="20">
        <v>40955</v>
      </c>
      <c r="P17" s="19" t="s">
        <v>98</v>
      </c>
      <c r="Q17" s="10" t="s">
        <v>118</v>
      </c>
      <c r="R17" s="10" t="s">
        <v>122</v>
      </c>
      <c r="S17" s="10" t="s">
        <v>122</v>
      </c>
      <c r="T17" s="10" t="s">
        <v>120</v>
      </c>
      <c r="U17" s="10" t="s">
        <v>121</v>
      </c>
      <c r="V17" s="10" t="s">
        <v>123</v>
      </c>
      <c r="W17" s="10" t="s">
        <v>122</v>
      </c>
      <c r="X17" s="10" t="s">
        <v>123</v>
      </c>
      <c r="Y17" s="10"/>
      <c r="Z17" s="10">
        <v>19</v>
      </c>
    </row>
    <row r="18" spans="1:26" s="56" customFormat="1" ht="18.600000000000001" customHeight="1" x14ac:dyDescent="0.25">
      <c r="A18" s="12" t="s">
        <v>16</v>
      </c>
      <c r="B18" s="21" t="s">
        <v>51</v>
      </c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 s="56" customFormat="1" ht="18.600000000000001" customHeight="1" x14ac:dyDescent="0.25">
      <c r="A19" s="12" t="s">
        <v>17</v>
      </c>
      <c r="B19" s="21" t="s">
        <v>52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 s="56" customFormat="1" ht="18.600000000000001" customHeight="1" x14ac:dyDescent="0.25">
      <c r="A20" s="41" t="s">
        <v>18</v>
      </c>
      <c r="B20" s="42">
        <v>539</v>
      </c>
      <c r="C20" s="43"/>
      <c r="D20" s="44">
        <v>963</v>
      </c>
      <c r="E20" s="45" t="s">
        <v>63</v>
      </c>
      <c r="F20" s="44" t="s">
        <v>65</v>
      </c>
      <c r="G20" s="46">
        <v>33204</v>
      </c>
      <c r="H20" s="41"/>
      <c r="I20" s="51" t="s">
        <v>75</v>
      </c>
      <c r="J20" s="41" t="s">
        <v>94</v>
      </c>
      <c r="K20" s="47">
        <v>43791</v>
      </c>
      <c r="L20" s="41" t="s">
        <v>95</v>
      </c>
      <c r="M20" s="42" t="s">
        <v>44</v>
      </c>
      <c r="N20" s="42" t="s">
        <v>108</v>
      </c>
      <c r="O20" s="50">
        <v>41936</v>
      </c>
      <c r="P20" s="48" t="s">
        <v>99</v>
      </c>
      <c r="Q20" s="41" t="s">
        <v>119</v>
      </c>
      <c r="R20" s="41" t="s">
        <v>122</v>
      </c>
      <c r="S20" s="41" t="s">
        <v>122</v>
      </c>
      <c r="T20" s="41" t="s">
        <v>120</v>
      </c>
      <c r="U20" s="41" t="s">
        <v>121</v>
      </c>
      <c r="V20" s="41" t="s">
        <v>122</v>
      </c>
      <c r="W20" s="41" t="s">
        <v>122</v>
      </c>
      <c r="X20" s="41" t="s">
        <v>123</v>
      </c>
      <c r="Y20" s="41"/>
      <c r="Z20" s="41">
        <v>23</v>
      </c>
    </row>
    <row r="21" spans="1:26" s="56" customFormat="1" ht="18.600000000000001" customHeight="1" x14ac:dyDescent="0.25">
      <c r="A21" s="12" t="s">
        <v>19</v>
      </c>
      <c r="B21" s="21" t="s">
        <v>53</v>
      </c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 s="57" customFormat="1" ht="16.5" thickBot="1" x14ac:dyDescent="0.3">
      <c r="A22" s="1"/>
      <c r="B22" s="1"/>
      <c r="C22" s="1"/>
      <c r="D22" s="1"/>
      <c r="E22" s="2"/>
      <c r="F22" s="1"/>
      <c r="G22" s="1"/>
      <c r="H22" s="1"/>
      <c r="I22" s="1"/>
      <c r="J22" s="1"/>
      <c r="K22" s="1"/>
      <c r="L22" s="5"/>
      <c r="M22" s="1"/>
      <c r="N22" s="1"/>
      <c r="O22" s="1"/>
      <c r="P22" s="7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6.5" thickTop="1" x14ac:dyDescent="0.25">
      <c r="A23" s="52" t="s">
        <v>124</v>
      </c>
    </row>
    <row r="24" spans="1:26" x14ac:dyDescent="0.25">
      <c r="A24" s="53" t="s">
        <v>125</v>
      </c>
    </row>
    <row r="25" spans="1:26" x14ac:dyDescent="0.25">
      <c r="A25" s="53" t="s">
        <v>126</v>
      </c>
    </row>
    <row r="26" spans="1:26" ht="16.5" thickBot="1" x14ac:dyDescent="0.3">
      <c r="A26" s="54" t="s">
        <v>127</v>
      </c>
      <c r="M26" s="1"/>
    </row>
    <row r="27" spans="1:26" ht="16.5" thickTop="1" x14ac:dyDescent="0.25">
      <c r="M27" s="1"/>
    </row>
  </sheetData>
  <mergeCells count="10">
    <mergeCell ref="B18:Z18"/>
    <mergeCell ref="B19:Z19"/>
    <mergeCell ref="B21:Z21"/>
    <mergeCell ref="B16:Z16"/>
    <mergeCell ref="B2:Z2"/>
    <mergeCell ref="B4:Z4"/>
    <mergeCell ref="B5:Z5"/>
    <mergeCell ref="B13:Z13"/>
    <mergeCell ref="B14:Z14"/>
    <mergeCell ref="B15:Z1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7937D-E42B-4CB1-8A59-4CF3083DCF01}">
  <dimension ref="A1:AA22"/>
  <sheetViews>
    <sheetView topLeftCell="J1" workbookViewId="0">
      <selection activeCell="AA1" sqref="AA1:AA21"/>
    </sheetView>
  </sheetViews>
  <sheetFormatPr defaultRowHeight="15.75" x14ac:dyDescent="0.25"/>
  <cols>
    <col min="1" max="1" width="30.7109375" style="29" customWidth="1"/>
    <col min="2" max="3" width="6.85546875" style="29" customWidth="1"/>
    <col min="4" max="4" width="22.42578125" style="29" customWidth="1"/>
    <col min="5" max="5" width="16" style="37" customWidth="1"/>
    <col min="6" max="6" width="18.28515625" style="29" customWidth="1"/>
    <col min="7" max="7" width="14.7109375" style="38" customWidth="1"/>
    <col min="8" max="8" width="7.42578125" style="29" customWidth="1"/>
    <col min="9" max="9" width="20" style="29" customWidth="1"/>
    <col min="10" max="10" width="28.85546875" style="29" customWidth="1"/>
    <col min="11" max="11" width="20.5703125" style="38" customWidth="1"/>
    <col min="12" max="12" width="45.140625" style="29" customWidth="1"/>
    <col min="13" max="13" width="9.7109375" style="29" customWidth="1"/>
    <col min="14" max="14" width="14.140625" style="29" customWidth="1"/>
    <col min="15" max="15" width="14" style="38" customWidth="1"/>
    <col min="16" max="16" width="14.7109375" style="39" customWidth="1"/>
    <col min="17" max="17" width="17.42578125" style="29" customWidth="1"/>
    <col min="18" max="19" width="9.140625" style="29"/>
    <col min="20" max="20" width="13.42578125" style="29" customWidth="1"/>
    <col min="21" max="16384" width="9.140625" style="29"/>
  </cols>
  <sheetData>
    <row r="1" spans="1:27" s="26" customFormat="1" ht="34.15" customHeight="1" x14ac:dyDescent="0.25">
      <c r="A1" s="23" t="s">
        <v>20</v>
      </c>
      <c r="B1" s="23" t="s">
        <v>21</v>
      </c>
      <c r="C1" s="23" t="s">
        <v>22</v>
      </c>
      <c r="D1" s="23" t="s">
        <v>23</v>
      </c>
      <c r="E1" s="24" t="s">
        <v>24</v>
      </c>
      <c r="F1" s="23" t="s">
        <v>25</v>
      </c>
      <c r="G1" s="25" t="s">
        <v>26</v>
      </c>
      <c r="H1" s="23" t="s">
        <v>27</v>
      </c>
      <c r="I1" s="23" t="s">
        <v>28</v>
      </c>
      <c r="J1" s="23" t="s">
        <v>29</v>
      </c>
      <c r="K1" s="25" t="s">
        <v>30</v>
      </c>
      <c r="L1" s="13" t="s">
        <v>31</v>
      </c>
      <c r="M1" s="23" t="s">
        <v>32</v>
      </c>
      <c r="N1" s="23" t="s">
        <v>33</v>
      </c>
      <c r="O1" s="25" t="s">
        <v>34</v>
      </c>
      <c r="P1" s="23" t="s">
        <v>96</v>
      </c>
      <c r="Q1" s="23" t="s">
        <v>35</v>
      </c>
      <c r="R1" s="23" t="s">
        <v>36</v>
      </c>
      <c r="S1" s="23" t="s">
        <v>37</v>
      </c>
      <c r="T1" s="23" t="s">
        <v>38</v>
      </c>
      <c r="U1" s="23" t="s">
        <v>39</v>
      </c>
      <c r="V1" s="23" t="s">
        <v>40</v>
      </c>
      <c r="W1" s="23" t="s">
        <v>41</v>
      </c>
      <c r="X1" s="23" t="s">
        <v>42</v>
      </c>
      <c r="Y1" s="23"/>
      <c r="Z1" s="23" t="s">
        <v>43</v>
      </c>
      <c r="AA1" s="23" t="s">
        <v>43</v>
      </c>
    </row>
    <row r="2" spans="1:27" ht="18.600000000000001" customHeight="1" x14ac:dyDescent="0.25">
      <c r="A2" s="27" t="s">
        <v>0</v>
      </c>
      <c r="B2" s="28" t="s">
        <v>45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7" ht="18.600000000000001" customHeight="1" x14ac:dyDescent="0.25">
      <c r="A3" s="27" t="s">
        <v>1</v>
      </c>
      <c r="B3" s="13">
        <v>1</v>
      </c>
      <c r="C3" s="14"/>
      <c r="D3" s="30">
        <v>1</v>
      </c>
      <c r="E3" s="22">
        <v>1</v>
      </c>
      <c r="F3" s="13">
        <v>1</v>
      </c>
      <c r="G3" s="31">
        <v>1</v>
      </c>
      <c r="H3" s="30"/>
      <c r="I3" s="30">
        <v>1</v>
      </c>
      <c r="J3" s="13">
        <v>1</v>
      </c>
      <c r="K3" s="22">
        <v>1</v>
      </c>
      <c r="L3" s="13">
        <v>1</v>
      </c>
      <c r="M3" s="13" t="s">
        <v>44</v>
      </c>
      <c r="N3" s="13">
        <v>1</v>
      </c>
      <c r="O3" s="22">
        <v>1</v>
      </c>
      <c r="P3" s="13">
        <v>1</v>
      </c>
      <c r="Q3" s="13">
        <v>1</v>
      </c>
      <c r="R3" s="13">
        <v>1</v>
      </c>
      <c r="S3" s="13">
        <v>1</v>
      </c>
      <c r="T3" s="13">
        <v>1</v>
      </c>
      <c r="U3" s="13">
        <v>1</v>
      </c>
      <c r="V3" s="13">
        <v>0</v>
      </c>
      <c r="W3" s="13">
        <v>1</v>
      </c>
      <c r="X3" s="13">
        <v>0</v>
      </c>
      <c r="Y3" s="13"/>
      <c r="Z3" s="13"/>
      <c r="AA3" s="40">
        <f>SUM(B3:Z3)</f>
        <v>18</v>
      </c>
    </row>
    <row r="4" spans="1:27" ht="18.600000000000001" customHeight="1" x14ac:dyDescent="0.25">
      <c r="A4" s="27" t="s">
        <v>2</v>
      </c>
      <c r="B4" s="28" t="s">
        <v>47</v>
      </c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40">
        <f t="shared" ref="Z4:AA21" si="0">SUM(B4:Z4)</f>
        <v>0</v>
      </c>
    </row>
    <row r="5" spans="1:27" ht="18.600000000000001" customHeight="1" x14ac:dyDescent="0.25">
      <c r="A5" s="27" t="s">
        <v>3</v>
      </c>
      <c r="B5" s="28" t="s">
        <v>46</v>
      </c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40">
        <f t="shared" si="0"/>
        <v>0</v>
      </c>
    </row>
    <row r="6" spans="1:27" ht="18.600000000000001" customHeight="1" x14ac:dyDescent="0.25">
      <c r="A6" s="27" t="s">
        <v>4</v>
      </c>
      <c r="B6" s="13">
        <v>1</v>
      </c>
      <c r="C6" s="14"/>
      <c r="D6" s="30">
        <v>1</v>
      </c>
      <c r="E6" s="30">
        <v>1</v>
      </c>
      <c r="F6" s="30">
        <v>3</v>
      </c>
      <c r="G6" s="31">
        <v>1</v>
      </c>
      <c r="H6" s="13"/>
      <c r="I6" s="30">
        <v>1</v>
      </c>
      <c r="J6" s="13">
        <v>1</v>
      </c>
      <c r="K6" s="22">
        <v>1</v>
      </c>
      <c r="L6" s="13">
        <v>3</v>
      </c>
      <c r="M6" s="13" t="s">
        <v>44</v>
      </c>
      <c r="N6" s="13">
        <v>1</v>
      </c>
      <c r="O6" s="22">
        <v>1</v>
      </c>
      <c r="P6" s="13">
        <v>1</v>
      </c>
      <c r="Q6" s="13">
        <v>1</v>
      </c>
      <c r="R6" s="13">
        <v>1</v>
      </c>
      <c r="S6" s="13">
        <v>1</v>
      </c>
      <c r="T6" s="13">
        <v>1</v>
      </c>
      <c r="U6" s="13">
        <v>1</v>
      </c>
      <c r="V6" s="13">
        <v>0</v>
      </c>
      <c r="W6" s="13">
        <v>1</v>
      </c>
      <c r="X6" s="13">
        <v>0</v>
      </c>
      <c r="Y6" s="13"/>
      <c r="Z6" s="13"/>
      <c r="AA6" s="40">
        <f t="shared" si="0"/>
        <v>22</v>
      </c>
    </row>
    <row r="7" spans="1:27" ht="18.600000000000001" customHeight="1" x14ac:dyDescent="0.25">
      <c r="A7" s="27" t="s">
        <v>5</v>
      </c>
      <c r="B7" s="13">
        <v>1</v>
      </c>
      <c r="C7" s="14"/>
      <c r="D7" s="30">
        <v>1</v>
      </c>
      <c r="E7" s="30">
        <v>1</v>
      </c>
      <c r="F7" s="30">
        <v>1</v>
      </c>
      <c r="G7" s="31">
        <v>1</v>
      </c>
      <c r="H7" s="13"/>
      <c r="I7" s="30">
        <v>1</v>
      </c>
      <c r="J7" s="13">
        <v>1</v>
      </c>
      <c r="K7" s="22">
        <v>1</v>
      </c>
      <c r="L7" s="13">
        <v>1</v>
      </c>
      <c r="M7" s="13" t="s">
        <v>44</v>
      </c>
      <c r="N7" s="13">
        <v>1</v>
      </c>
      <c r="O7" s="22">
        <v>1</v>
      </c>
      <c r="P7" s="13">
        <v>1</v>
      </c>
      <c r="Q7" s="13">
        <v>1</v>
      </c>
      <c r="R7" s="13">
        <v>1</v>
      </c>
      <c r="S7" s="13">
        <v>1</v>
      </c>
      <c r="T7" s="13">
        <v>1</v>
      </c>
      <c r="U7" s="13">
        <v>1</v>
      </c>
      <c r="V7" s="13">
        <v>0</v>
      </c>
      <c r="W7" s="13">
        <v>1</v>
      </c>
      <c r="X7" s="13">
        <v>0</v>
      </c>
      <c r="Y7" s="13"/>
      <c r="Z7" s="13"/>
      <c r="AA7" s="40">
        <f t="shared" si="0"/>
        <v>18</v>
      </c>
    </row>
    <row r="8" spans="1:27" ht="18.600000000000001" customHeight="1" x14ac:dyDescent="0.25">
      <c r="A8" s="27" t="s">
        <v>6</v>
      </c>
      <c r="B8" s="13">
        <v>1</v>
      </c>
      <c r="C8" s="14"/>
      <c r="D8" s="30">
        <v>1</v>
      </c>
      <c r="E8" s="30">
        <v>1</v>
      </c>
      <c r="F8" s="30">
        <v>1</v>
      </c>
      <c r="G8" s="31">
        <v>1</v>
      </c>
      <c r="H8" s="13"/>
      <c r="I8" s="30">
        <v>1</v>
      </c>
      <c r="J8" s="13">
        <v>1</v>
      </c>
      <c r="K8" s="22">
        <v>1</v>
      </c>
      <c r="L8" s="13">
        <v>2</v>
      </c>
      <c r="M8" s="13" t="s">
        <v>44</v>
      </c>
      <c r="N8" s="13">
        <v>1</v>
      </c>
      <c r="O8" s="22">
        <v>1</v>
      </c>
      <c r="P8" s="13">
        <v>1</v>
      </c>
      <c r="Q8" s="13">
        <v>1</v>
      </c>
      <c r="R8" s="13">
        <v>0</v>
      </c>
      <c r="S8" s="13">
        <v>1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/>
      <c r="Z8" s="13"/>
      <c r="AA8" s="40">
        <f t="shared" si="0"/>
        <v>15</v>
      </c>
    </row>
    <row r="9" spans="1:27" ht="18.600000000000001" customHeight="1" x14ac:dyDescent="0.25">
      <c r="A9" s="27" t="s">
        <v>7</v>
      </c>
      <c r="B9" s="13">
        <v>1</v>
      </c>
      <c r="C9" s="14"/>
      <c r="D9" s="30">
        <v>1</v>
      </c>
      <c r="E9" s="30">
        <v>1</v>
      </c>
      <c r="F9" s="30">
        <v>2</v>
      </c>
      <c r="G9" s="31">
        <v>1</v>
      </c>
      <c r="H9" s="13"/>
      <c r="I9" s="30">
        <v>1</v>
      </c>
      <c r="J9" s="13">
        <v>1</v>
      </c>
      <c r="K9" s="22">
        <v>1</v>
      </c>
      <c r="L9" s="13">
        <v>3</v>
      </c>
      <c r="M9" s="13" t="s">
        <v>44</v>
      </c>
      <c r="N9" s="13">
        <v>1</v>
      </c>
      <c r="O9" s="22">
        <v>1</v>
      </c>
      <c r="P9" s="13">
        <v>1</v>
      </c>
      <c r="Q9" s="13">
        <v>1</v>
      </c>
      <c r="R9" s="13">
        <v>1</v>
      </c>
      <c r="S9" s="13">
        <v>1</v>
      </c>
      <c r="T9" s="13">
        <v>1</v>
      </c>
      <c r="U9" s="13">
        <v>1</v>
      </c>
      <c r="V9" s="13">
        <v>0</v>
      </c>
      <c r="W9" s="13">
        <v>1</v>
      </c>
      <c r="X9" s="13">
        <v>0</v>
      </c>
      <c r="Y9" s="13"/>
      <c r="Z9" s="13"/>
      <c r="AA9" s="40">
        <f t="shared" si="0"/>
        <v>21</v>
      </c>
    </row>
    <row r="10" spans="1:27" ht="18.600000000000001" customHeight="1" x14ac:dyDescent="0.25">
      <c r="A10" s="27" t="s">
        <v>8</v>
      </c>
      <c r="B10" s="13">
        <v>1</v>
      </c>
      <c r="C10" s="14"/>
      <c r="D10" s="30">
        <v>1</v>
      </c>
      <c r="E10" s="30">
        <v>1</v>
      </c>
      <c r="F10" s="30">
        <v>2</v>
      </c>
      <c r="G10" s="31">
        <v>1</v>
      </c>
      <c r="H10" s="13"/>
      <c r="I10" s="30">
        <v>1</v>
      </c>
      <c r="J10" s="13">
        <v>1</v>
      </c>
      <c r="K10" s="22">
        <v>1</v>
      </c>
      <c r="L10" s="13">
        <v>2</v>
      </c>
      <c r="M10" s="13" t="s">
        <v>44</v>
      </c>
      <c r="N10" s="13">
        <v>1</v>
      </c>
      <c r="O10" s="22">
        <v>1</v>
      </c>
      <c r="P10" s="13">
        <v>1</v>
      </c>
      <c r="Q10" s="13">
        <v>1</v>
      </c>
      <c r="R10" s="13">
        <v>1</v>
      </c>
      <c r="S10" s="13">
        <v>1</v>
      </c>
      <c r="T10" s="13">
        <v>1</v>
      </c>
      <c r="U10" s="13">
        <v>1</v>
      </c>
      <c r="V10" s="13">
        <v>1</v>
      </c>
      <c r="W10" s="13">
        <v>1</v>
      </c>
      <c r="X10" s="13">
        <v>0</v>
      </c>
      <c r="Y10" s="13"/>
      <c r="Z10" s="13"/>
      <c r="AA10" s="40">
        <f t="shared" si="0"/>
        <v>21</v>
      </c>
    </row>
    <row r="11" spans="1:27" ht="18.600000000000001" customHeight="1" x14ac:dyDescent="0.25">
      <c r="A11" s="27" t="s">
        <v>9</v>
      </c>
      <c r="B11" s="13">
        <v>1</v>
      </c>
      <c r="C11" s="14"/>
      <c r="D11" s="30">
        <v>1</v>
      </c>
      <c r="E11" s="30">
        <v>1</v>
      </c>
      <c r="F11" s="30">
        <v>2</v>
      </c>
      <c r="G11" s="31">
        <v>1</v>
      </c>
      <c r="H11" s="13"/>
      <c r="I11" s="30">
        <v>1</v>
      </c>
      <c r="J11" s="13">
        <v>1</v>
      </c>
      <c r="K11" s="22">
        <v>1</v>
      </c>
      <c r="L11" s="13">
        <v>2</v>
      </c>
      <c r="M11" s="13" t="s">
        <v>44</v>
      </c>
      <c r="N11" s="13">
        <v>1</v>
      </c>
      <c r="O11" s="22">
        <v>1</v>
      </c>
      <c r="P11" s="13">
        <v>1</v>
      </c>
      <c r="Q11" s="13">
        <v>1</v>
      </c>
      <c r="R11" s="13">
        <v>0</v>
      </c>
      <c r="S11" s="13">
        <v>1</v>
      </c>
      <c r="T11" s="13">
        <v>1</v>
      </c>
      <c r="U11" s="13">
        <v>0</v>
      </c>
      <c r="V11" s="13">
        <v>0</v>
      </c>
      <c r="W11" s="13">
        <v>1</v>
      </c>
      <c r="X11" s="13">
        <v>0</v>
      </c>
      <c r="Y11" s="13"/>
      <c r="Z11" s="13"/>
      <c r="AA11" s="40">
        <f t="shared" si="0"/>
        <v>18</v>
      </c>
    </row>
    <row r="12" spans="1:27" ht="18.600000000000001" customHeight="1" x14ac:dyDescent="0.25">
      <c r="A12" s="27" t="s">
        <v>10</v>
      </c>
      <c r="B12" s="13">
        <v>1</v>
      </c>
      <c r="C12" s="14"/>
      <c r="D12" s="30">
        <v>1</v>
      </c>
      <c r="E12" s="30">
        <v>1</v>
      </c>
      <c r="F12" s="30">
        <v>2</v>
      </c>
      <c r="G12" s="31">
        <v>1</v>
      </c>
      <c r="H12" s="13"/>
      <c r="I12" s="30">
        <v>1</v>
      </c>
      <c r="J12" s="13">
        <v>1</v>
      </c>
      <c r="K12" s="22">
        <v>1</v>
      </c>
      <c r="L12" s="13">
        <v>1</v>
      </c>
      <c r="M12" s="13" t="s">
        <v>44</v>
      </c>
      <c r="N12" s="13">
        <v>1</v>
      </c>
      <c r="O12" s="22">
        <v>1</v>
      </c>
      <c r="P12" s="13">
        <v>1</v>
      </c>
      <c r="Q12" s="13">
        <v>1</v>
      </c>
      <c r="R12" s="13">
        <v>1</v>
      </c>
      <c r="S12" s="13">
        <v>1</v>
      </c>
      <c r="T12" s="13">
        <v>1</v>
      </c>
      <c r="U12" s="13">
        <v>1</v>
      </c>
      <c r="V12" s="13">
        <v>0</v>
      </c>
      <c r="W12" s="13">
        <v>1</v>
      </c>
      <c r="X12" s="13">
        <v>0</v>
      </c>
      <c r="Y12" s="13"/>
      <c r="Z12" s="13"/>
      <c r="AA12" s="40">
        <f t="shared" si="0"/>
        <v>19</v>
      </c>
    </row>
    <row r="13" spans="1:27" ht="18.600000000000001" customHeight="1" x14ac:dyDescent="0.25">
      <c r="A13" s="27" t="s">
        <v>11</v>
      </c>
      <c r="B13" s="28" t="s">
        <v>48</v>
      </c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40">
        <f t="shared" si="0"/>
        <v>0</v>
      </c>
    </row>
    <row r="14" spans="1:27" ht="18.600000000000001" customHeight="1" x14ac:dyDescent="0.25">
      <c r="A14" s="27" t="s">
        <v>12</v>
      </c>
      <c r="B14" s="28" t="s">
        <v>49</v>
      </c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40">
        <f t="shared" si="0"/>
        <v>0</v>
      </c>
    </row>
    <row r="15" spans="1:27" ht="18.600000000000001" customHeight="1" x14ac:dyDescent="0.25">
      <c r="A15" s="27" t="s">
        <v>13</v>
      </c>
      <c r="B15" s="28" t="s">
        <v>50</v>
      </c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40">
        <f t="shared" si="0"/>
        <v>0</v>
      </c>
    </row>
    <row r="16" spans="1:27" ht="18.600000000000001" customHeight="1" x14ac:dyDescent="0.25">
      <c r="A16" s="27" t="s">
        <v>14</v>
      </c>
      <c r="B16" s="28" t="s">
        <v>45</v>
      </c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40">
        <f t="shared" si="0"/>
        <v>0</v>
      </c>
    </row>
    <row r="17" spans="1:27" ht="18.600000000000001" customHeight="1" x14ac:dyDescent="0.25">
      <c r="A17" s="27" t="s">
        <v>15</v>
      </c>
      <c r="B17" s="13">
        <v>1</v>
      </c>
      <c r="C17" s="14"/>
      <c r="D17" s="30">
        <v>1</v>
      </c>
      <c r="E17" s="30">
        <v>1</v>
      </c>
      <c r="F17" s="30">
        <v>2</v>
      </c>
      <c r="G17" s="31">
        <v>1</v>
      </c>
      <c r="H17" s="13"/>
      <c r="I17" s="30">
        <v>1</v>
      </c>
      <c r="J17" s="13">
        <v>1</v>
      </c>
      <c r="K17" s="22">
        <v>1</v>
      </c>
      <c r="L17" s="13">
        <v>1</v>
      </c>
      <c r="M17" s="13" t="s">
        <v>44</v>
      </c>
      <c r="N17" s="13">
        <v>1</v>
      </c>
      <c r="O17" s="22">
        <v>1</v>
      </c>
      <c r="P17" s="13">
        <v>1</v>
      </c>
      <c r="Q17" s="13">
        <v>1</v>
      </c>
      <c r="R17" s="13">
        <v>1</v>
      </c>
      <c r="S17" s="13">
        <v>1</v>
      </c>
      <c r="T17" s="13">
        <v>1</v>
      </c>
      <c r="U17" s="13">
        <v>1</v>
      </c>
      <c r="V17" s="13">
        <v>0</v>
      </c>
      <c r="W17" s="13">
        <v>1</v>
      </c>
      <c r="X17" s="13">
        <v>0</v>
      </c>
      <c r="Y17" s="13"/>
      <c r="Z17" s="13"/>
      <c r="AA17" s="40">
        <f t="shared" si="0"/>
        <v>19</v>
      </c>
    </row>
    <row r="18" spans="1:27" ht="18.600000000000001" customHeight="1" x14ac:dyDescent="0.25">
      <c r="A18" s="27" t="s">
        <v>16</v>
      </c>
      <c r="B18" s="28" t="s">
        <v>51</v>
      </c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40">
        <f t="shared" si="0"/>
        <v>0</v>
      </c>
    </row>
    <row r="19" spans="1:27" ht="18.600000000000001" customHeight="1" x14ac:dyDescent="0.25">
      <c r="A19" s="27" t="s">
        <v>17</v>
      </c>
      <c r="B19" s="28" t="s">
        <v>52</v>
      </c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40">
        <f t="shared" si="0"/>
        <v>0</v>
      </c>
    </row>
    <row r="20" spans="1:27" ht="18.600000000000001" customHeight="1" x14ac:dyDescent="0.25">
      <c r="A20" s="27" t="s">
        <v>18</v>
      </c>
      <c r="B20" s="13">
        <v>1</v>
      </c>
      <c r="C20" s="14"/>
      <c r="D20" s="30">
        <v>1</v>
      </c>
      <c r="E20" s="30">
        <v>1</v>
      </c>
      <c r="F20" s="30">
        <v>3</v>
      </c>
      <c r="G20" s="31">
        <v>1</v>
      </c>
      <c r="H20" s="13"/>
      <c r="I20" s="32">
        <v>1</v>
      </c>
      <c r="J20" s="13">
        <v>1</v>
      </c>
      <c r="K20" s="22">
        <v>1</v>
      </c>
      <c r="L20" s="13">
        <v>3</v>
      </c>
      <c r="M20" s="13" t="s">
        <v>44</v>
      </c>
      <c r="N20" s="13">
        <v>1</v>
      </c>
      <c r="O20" s="22">
        <v>1</v>
      </c>
      <c r="P20" s="13">
        <v>1</v>
      </c>
      <c r="Q20" s="13">
        <v>1</v>
      </c>
      <c r="R20" s="13">
        <v>1</v>
      </c>
      <c r="S20" s="13">
        <v>1</v>
      </c>
      <c r="T20" s="13">
        <v>1</v>
      </c>
      <c r="U20" s="13">
        <v>1</v>
      </c>
      <c r="V20" s="13">
        <v>1</v>
      </c>
      <c r="W20" s="13">
        <v>1</v>
      </c>
      <c r="X20" s="13">
        <v>0</v>
      </c>
      <c r="Y20" s="13"/>
      <c r="Z20" s="13"/>
      <c r="AA20" s="40">
        <f t="shared" si="0"/>
        <v>23</v>
      </c>
    </row>
    <row r="21" spans="1:27" ht="18.600000000000001" customHeight="1" x14ac:dyDescent="0.25">
      <c r="A21" s="27" t="s">
        <v>19</v>
      </c>
      <c r="B21" s="28" t="s">
        <v>53</v>
      </c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40">
        <f t="shared" si="0"/>
        <v>0</v>
      </c>
    </row>
    <row r="22" spans="1:27" s="33" customFormat="1" x14ac:dyDescent="0.25">
      <c r="E22" s="34"/>
      <c r="G22" s="35"/>
      <c r="K22" s="35"/>
      <c r="O22" s="35"/>
      <c r="P22" s="36"/>
    </row>
  </sheetData>
  <mergeCells count="10">
    <mergeCell ref="B16:Z16"/>
    <mergeCell ref="B18:Z18"/>
    <mergeCell ref="B19:Z19"/>
    <mergeCell ref="B21:Z21"/>
    <mergeCell ref="B2:Z2"/>
    <mergeCell ref="B4:Z4"/>
    <mergeCell ref="B5:Z5"/>
    <mergeCell ref="B13:Z13"/>
    <mergeCell ref="B14:Z14"/>
    <mergeCell ref="B15:Z15"/>
  </mergeCell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Matvey</dc:creator>
  <cp:lastModifiedBy>Matvey</cp:lastModifiedBy>
  <dcterms:created xsi:type="dcterms:W3CDTF">2023-12-07T08:06:49Z</dcterms:created>
  <dcterms:modified xsi:type="dcterms:W3CDTF">2023-12-11T14:42:34Z</dcterms:modified>
</cp:coreProperties>
</file>