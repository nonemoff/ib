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ther\Education\ib\"/>
    </mc:Choice>
  </mc:AlternateContent>
  <xr:revisionPtr revIDLastSave="0" documentId="13_ncr:1_{B8C4FDF9-893D-43C1-877D-BB358F2D636A}" xr6:coauthVersionLast="47" xr6:coauthVersionMax="47" xr10:uidLastSave="{00000000-0000-0000-0000-000000000000}"/>
  <bookViews>
    <workbookView xWindow="-120" yWindow="-120" windowWidth="29040" windowHeight="15840" xr2:uid="{9E5C7B1F-9CC7-48EC-86FA-70E46418FE89}"/>
  </bookViews>
  <sheets>
    <sheet name="Банки" sheetId="1" r:id="rId1"/>
    <sheet name="подсчет очков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0" i="2" l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1" i="2"/>
  <c r="AA3" i="2"/>
</calcChain>
</file>

<file path=xl/sharedStrings.xml><?xml version="1.0" encoding="utf-8"?>
<sst xmlns="http://schemas.openxmlformats.org/spreadsheetml/2006/main" count="277" uniqueCount="176">
  <si>
    <t>ОАО «СИБНЕФТЕБАНК»;</t>
  </si>
  <si>
    <t>«СИБСОЦБАНК» ООО;</t>
  </si>
  <si>
    <t>Банк «СИБЭС» (АО);</t>
  </si>
  <si>
    <t>ОАО ГБ «Симбирск»;</t>
  </si>
  <si>
    <t>ПАО Банк Синара;</t>
  </si>
  <si>
    <t>ООО КБ «СИНКО-БАНК»;</t>
  </si>
  <si>
    <t>КБ «СИСТЕМА» ООО;</t>
  </si>
  <si>
    <t>АО «Сити Инвест Банк»;</t>
  </si>
  <si>
    <t>АО КБ «Ситибанк»;</t>
  </si>
  <si>
    <t>АКБ «СЛАВИЯ» (АО);</t>
  </si>
  <si>
    <t>АО НКБ «СЛАВЯНБАНК»;</t>
  </si>
  <si>
    <t>АКБ «СЛАВЯНСКИЙ БАНК» (ЗАО);</t>
  </si>
  <si>
    <t>АО «СМАРТБАНК»;</t>
  </si>
  <si>
    <t>Банк «Смолевич» (ПАО);</t>
  </si>
  <si>
    <t>ОАО «Смоленский Банк»;</t>
  </si>
  <si>
    <t>Банк «Снежинский» АО;</t>
  </si>
  <si>
    <t>«Соверен Банк» (АО);</t>
  </si>
  <si>
    <t>АО Банк «Советский»;</t>
  </si>
  <si>
    <t>ПАО «Совкомбанк»;</t>
  </si>
  <si>
    <t>ОАО Банк «СОДРУЖЕСТВО».</t>
  </si>
  <si>
    <t>На Наименование</t>
  </si>
  <si>
    <t>№ п.п</t>
  </si>
  <si>
    <t>Вид</t>
  </si>
  <si>
    <t>Регистрационный номер</t>
  </si>
  <si>
    <t>ОГРН</t>
  </si>
  <si>
    <t>Организационно-правовая форма</t>
  </si>
  <si>
    <t>Дата регистрации</t>
  </si>
  <si>
    <t>Статус лицензии</t>
  </si>
  <si>
    <t>Местонахождение</t>
  </si>
  <si>
    <t>Лицензия ФСБ (номер лицензии)</t>
  </si>
  <si>
    <t>Лицензия ФСБ (дата регистрации)</t>
  </si>
  <si>
    <t>Лицензия ФСБ (виды работ)</t>
  </si>
  <si>
    <t>Лицензия ФСТЭК</t>
  </si>
  <si>
    <t>Регистрация РКН (номер)</t>
  </si>
  <si>
    <t>Регистрация РКН (дата)</t>
  </si>
  <si>
    <t>SWIFT</t>
  </si>
  <si>
    <t>63 ФЗ</t>
  </si>
  <si>
    <t>161 ФЗ</t>
  </si>
  <si>
    <t>МИР/НСПК</t>
  </si>
  <si>
    <t>СБП</t>
  </si>
  <si>
    <t>АБИСС/ СТО БР</t>
  </si>
  <si>
    <t>PCI DSS</t>
  </si>
  <si>
    <t>ISO 27000</t>
  </si>
  <si>
    <t>Рейтинг</t>
  </si>
  <si>
    <t>-</t>
  </si>
  <si>
    <t>Лицензия отозвана приказом Банка России ОД-1028 от 13.12.2013</t>
  </si>
  <si>
    <t>Лицензия отозвана приказом Банка России ОД-3162 от 11.11.2014</t>
  </si>
  <si>
    <t>Лицензия отозвана приказом Банка России ОД-1134 от 28.04.2017</t>
  </si>
  <si>
    <t>Лицензия отозвана приказом Банка России ОД-596 от 03.12.2010</t>
  </si>
  <si>
    <t>Лицензия отозвана приказом Банка России ОД-1013 от 28.03.2016</t>
  </si>
  <si>
    <t>Лицензия отозвана приказом Банка России ОД-2371 от 08.09.2015</t>
  </si>
  <si>
    <t>Лицензия отозвана приказом Банка России ОД-1181 от 08.04.2016</t>
  </si>
  <si>
    <t>Лицензия отозвана приказом Банка России ОД-1654 от 03.07.2018</t>
  </si>
  <si>
    <t>Лицензия отозвана приказом Банка России ОД-2832 от 16.10.2015</t>
  </si>
  <si>
    <t>1022200525819</t>
  </si>
  <si>
    <t xml:space="preserve">	1026600000460	</t>
  </si>
  <si>
    <t>1027739563610</t>
  </si>
  <si>
    <t>1027739919954</t>
  </si>
  <si>
    <t>1027800000095</t>
  </si>
  <si>
    <t>1027700431296</t>
  </si>
  <si>
    <t>1027739228758</t>
  </si>
  <si>
    <t>1025300000175</t>
  </si>
  <si>
    <t>1027400009064</t>
  </si>
  <si>
    <t>1144400000425</t>
  </si>
  <si>
    <t>ООО (Паевое)</t>
  </si>
  <si>
    <t>ПАО</t>
  </si>
  <si>
    <t>НПАО</t>
  </si>
  <si>
    <t>656049, Алтайский край, г.Барнаул, пр-кт Ленина,д. 61а</t>
  </si>
  <si>
    <t>107045, г. Москва, Последний переулок, д.11, стр.1</t>
  </si>
  <si>
    <t>121096, г. Москва, ул. Василисы Кожиной, д. 1, этаж 1, комнаты 1-30</t>
  </si>
  <si>
    <t>191187, г. Санкт-Петербург, ул. Шпалерная, д.2/4, литер А</t>
  </si>
  <si>
    <t>125047, г. Москва, ул. Гашека, д. 8-10, стр. 1</t>
  </si>
  <si>
    <t>117292, г. Москва, ул. Кедрова, д.5А</t>
  </si>
  <si>
    <t>173004 Новгородская обл., г.Великий Новгород, ул.Черемнова-Конюхова, д.12</t>
  </si>
  <si>
    <t>456770, Челябинская область, г. Снежинск, ул. Васильева, д. 19</t>
  </si>
  <si>
    <t>156000, г. Кострома, пр. Текстильщиков, д. 46</t>
  </si>
  <si>
    <t>191/Н</t>
  </si>
  <si>
    <t>12, 21, 28</t>
  </si>
  <si>
    <t>Л051-00105- 66/00007432/Н</t>
  </si>
  <si>
    <t>12, 13, 14, 15, 20, 21, 22, 23, 24, 25, 26, 27, 28</t>
  </si>
  <si>
    <t>14737/Н</t>
  </si>
  <si>
    <t>12, 13, 20, 21, 22, 25, 26</t>
  </si>
  <si>
    <t>14022/Н</t>
  </si>
  <si>
    <t>12, 13, 14, 20, 21, 22, 23, 25, 26, 28</t>
  </si>
  <si>
    <t>978/Н</t>
  </si>
  <si>
    <t>12, 13, 14, 15, 20, 21, 22, 23,
24, 25, 26, 27, 28</t>
  </si>
  <si>
    <t>14460/Н</t>
  </si>
  <si>
    <t>12, 13, 14, 15, 20, 21, 22, 25,
26</t>
  </si>
  <si>
    <t>13383/Н</t>
  </si>
  <si>
    <t>12, 13, 14, 15, 20, 21, 22, 23,
25, 26, 28</t>
  </si>
  <si>
    <t>593/Н</t>
  </si>
  <si>
    <t>12, 13, 14, 20, 25, 26, 28</t>
  </si>
  <si>
    <t>268/Н</t>
  </si>
  <si>
    <t>12, 13, 14, 15, 21, 24, 28</t>
  </si>
  <si>
    <t>104/Н</t>
  </si>
  <si>
    <t>2, 8, 12, 13, 14, 15, 20, 21, 22,
23, 24, 25, 26, 28</t>
  </si>
  <si>
    <t>ИНН</t>
  </si>
  <si>
    <t>7710401987 </t>
  </si>
  <si>
    <t>7423004062 </t>
  </si>
  <si>
    <t>4401116480 </t>
  </si>
  <si>
    <t>09-0070283</t>
  </si>
  <si>
    <t>11-0170765</t>
  </si>
  <si>
    <t>77-12-000112</t>
  </si>
  <si>
    <t>09-0043446</t>
  </si>
  <si>
    <t>11-0185438</t>
  </si>
  <si>
    <t>77-12-000819</t>
  </si>
  <si>
    <t>11-0207165</t>
  </si>
  <si>
    <t>12-0237164</t>
  </si>
  <si>
    <t>44-14-000688</t>
  </si>
  <si>
    <t>11-0170783</t>
  </si>
  <si>
    <t>SISNRU55</t>
  </si>
  <si>
    <t>MICURUMM</t>
  </si>
  <si>
    <t>SNKBRUMM</t>
  </si>
  <si>
    <t>SISERUMM</t>
  </si>
  <si>
    <t>CITVRU2P</t>
  </si>
  <si>
    <t>CITIRUM</t>
  </si>
  <si>
    <t>SJSMRUMM</t>
  </si>
  <si>
    <t>SLABRU21</t>
  </si>
  <si>
    <t>SNEZRU4C</t>
  </si>
  <si>
    <t>COMKRUMMIBD</t>
  </si>
  <si>
    <t>ТОП 3</t>
  </si>
  <si>
    <t>ПАО "Совкомбанк"</t>
  </si>
  <si>
    <t>ПАО Банк Синара</t>
  </si>
  <si>
    <t>АО КБ "Ситибанк"</t>
  </si>
  <si>
    <t>https://www.sibsoc.ru/files/doc_bg.doc</t>
  </si>
  <si>
    <t>https://sinara-finance.ru/upload/iblock/4cf/hak9lldbh1bdsz2t6tb48ye47ujqkjj2.pdf</t>
  </si>
  <si>
    <t>информация не найдена</t>
  </si>
  <si>
    <t>https://cibank.ru/ftpgetfile.php?id=519&amp;module=files</t>
  </si>
  <si>
    <t>https://www.citibank.com/transactionservices/home/region/university/we_eb_ru/docs/CCU%20Setup%20Guide.pdf</t>
  </si>
  <si>
    <t>https://www.snbank.ru/files/phi/credit/ipoteka/poryadok_uslug.pdf</t>
  </si>
  <si>
    <t>https://sovcombank.ru/business/servisi/elektronnaya-podpis</t>
  </si>
  <si>
    <t>https://ibank2.sinko-bank.ru/pdocs/iBank_Private_Internet_Bank.pdf</t>
  </si>
  <si>
    <t>https://www.sinko-bank.ru/o_banke/press-tsentr/news/?id=623</t>
  </si>
  <si>
    <t>https://www.sibsoc.ru/files/Dogovor%20agent.doc</t>
  </si>
  <si>
    <t>https://sudact.ru/arbitral/doc/SEhdoqhPplJq/</t>
  </si>
  <si>
    <t>https://cibank.ru/ru/news/uvedomlenija-ob-operacijah</t>
  </si>
  <si>
    <t>https://www.citibank.ru/russia/News/rus/news.htm</t>
  </si>
  <si>
    <t>https://sudact.ru/arbitral/doc/w5UmmBcGgVrO/</t>
  </si>
  <si>
    <t>https://www.snbank.ru/otchetnost/poryadok_pretenziy/</t>
  </si>
  <si>
    <t>https://sovcombank.ru/security</t>
  </si>
  <si>
    <t>https://sovcombank.ru/cards/rassrochki/mir</t>
  </si>
  <si>
    <t>https://sovcombank.ru/payments/sbp</t>
  </si>
  <si>
    <t>https://www.snbank.ru/phi/transfer/sbp/</t>
  </si>
  <si>
    <t>https://www.snbank.ru/phi/cards/</t>
  </si>
  <si>
    <t>https://www.banki.ru/products/debitcards/slavyanbank/</t>
  </si>
  <si>
    <t>https://zkhclick.ru/kvitantsii/ooo_uo_armada-51561/</t>
  </si>
  <si>
    <t>https://brobank.ru/sbp-banki-uchastniki/</t>
  </si>
  <si>
    <t>https://www.banki.ru/products/debitcards/catalogue/karta_mir_s_keshbekom_za_puteshestviya/bank/slaviabank/</t>
  </si>
  <si>
    <t>https://www.banki.ru/products/creditcards/catalogue/kreditnyie_kartyi_natsionalnoy_platejnoy_sistemyi_mir_/bank/citibank/</t>
  </si>
  <si>
    <t>https://www.banki.ru/products/debitcards/catalogue/debetovaya_karta_mir/bank/cibank/</t>
  </si>
  <si>
    <t>https://www.vbr.ru/banki/siti-invest-bank/rko/</t>
  </si>
  <si>
    <t>https://www.citibank.ru/russia/services/rus/sbp.html</t>
  </si>
  <si>
    <t>https://www.sinko-bank.ru/chastnym_kliyentam/cbp/</t>
  </si>
  <si>
    <t>https://www.sinko-bank.ru/chastnym_kliyentam/debetovie_karty/</t>
  </si>
  <si>
    <t>https://sinara.ru/chastnym-licam/karty</t>
  </si>
  <si>
    <t>https://sinara.ru/chastnym-licam/sbp</t>
  </si>
  <si>
    <t>https://www.sibsoc.ru/personal/sistema-bystryx-platezhej/</t>
  </si>
  <si>
    <t>https://www.sibsoc.ru/personal/bankovskie-karty/debetovaya-karta-mir/</t>
  </si>
  <si>
    <t>https://arb.ru/b2b/docs/standart_banka_rossii_sto_br_ibbs_1_0_20khkh_obespechenie_informatsionnoy_bezopa-411941/</t>
  </si>
  <si>
    <t>https://www.cnews.ru/book/%D0%A6%D0%91_%D0%A0%D0%A4_-_%D0%A6%D0%B5%D0%BD%D1%82%D1%80%D0%BE%D0%B1%D0%B0%D0%BD%D0%BA_-_%D0%A6%D0%B5%D0%BD%D1%82%D1%80%D0%B0%D0%BB%D1%8C%D0%BD%D1%8B%D0%B9_%D0%B1%D0%B0%D0%BD%D0%BA_%D0%A0%D0%A4_-_%D0%91%D0%B0%D0%BD%D0%BA_%D0%A0%D0%BE%D1%81%D1%81%D0%B8%D0%B8</t>
  </si>
  <si>
    <t>https://www.press-release.ru/branches/i/?p=5606</t>
  </si>
  <si>
    <t>https://rosswift.ru/doc/ANNUAL_REPORT_ROSSWIFT_2018.pdf</t>
  </si>
  <si>
    <t>https://www.dialognauka.ru/about/reviews/zao-kb-sitibank/</t>
  </si>
  <si>
    <t>https://www.e-disclosure.ru/portal/FileLoad.ashx?Fileid=636564</t>
  </si>
  <si>
    <t>https://rosswift.ru/doc/ROSSWIFT-2017.pdf</t>
  </si>
  <si>
    <t>https://astra-st.ru/taxonomy/term/336</t>
  </si>
  <si>
    <t>https://www.banki.ru/wikibank/rekomendatsii_banka_rossii_k_internet-saytam_bankov/</t>
  </si>
  <si>
    <t>https://www.banki.ru/products/debitcards/catalogue/debetovaya_karta_visa/bank/sibsocbank/?page=2</t>
  </si>
  <si>
    <t>https://sinara.ru/chastnym-licam/karty/premialnaya-karta</t>
  </si>
  <si>
    <t>https://www.sinko-bank.ru/korporativnym_kliyentam/ekvayring/</t>
  </si>
  <si>
    <t>https://cibank.ru/ru/retail/cards/visa/visa</t>
  </si>
  <si>
    <t>https://www.citibank.ru/russia/cards/rus/aeroflot_infinite_main.htm</t>
  </si>
  <si>
    <t>https://www.banki.ru/products/debitcards/catalogue/debetovaya_karta_visa/bank/slaviabank/</t>
  </si>
  <si>
    <t>https://www.banki.ru/products/creditcards/catalogue/kreditnyie_kartyi_visa/bank/slavyanbank/</t>
  </si>
  <si>
    <t>https://sovcombank.ru/apply/cards/credit/viza/</t>
  </si>
  <si>
    <t>действует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</si>
</sst>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2B2E3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Border="1"/>
    <xf numFmtId="49" fontId="0" fillId="0" borderId="0" xfId="0" applyNumberFormat="1" applyBorder="1"/>
    <xf numFmtId="49" fontId="0" fillId="0" borderId="0" xfId="0" applyNumberFormat="1"/>
    <xf numFmtId="0" fontId="0" fillId="0" borderId="0" xfId="0" applyAlignment="1"/>
    <xf numFmtId="0" fontId="0" fillId="0" borderId="0" xfId="0" applyBorder="1" applyAlignment="1"/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left" wrapText="1"/>
    </xf>
    <xf numFmtId="0" fontId="2" fillId="0" borderId="1" xfId="0" applyFont="1" applyFill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49" fontId="2" fillId="0" borderId="1" xfId="0" applyNumberFormat="1" applyFont="1" applyBorder="1" applyAlignment="1"/>
    <xf numFmtId="14" fontId="3" fillId="0" borderId="1" xfId="0" applyNumberFormat="1" applyFont="1" applyBorder="1" applyAlignment="1"/>
    <xf numFmtId="14" fontId="2" fillId="0" borderId="1" xfId="0" applyNumberFormat="1" applyFont="1" applyBorder="1" applyAlignment="1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0" fontId="2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/>
    <xf numFmtId="49" fontId="2" fillId="4" borderId="1" xfId="0" applyNumberFormat="1" applyFont="1" applyFill="1" applyBorder="1" applyAlignment="1"/>
    <xf numFmtId="14" fontId="3" fillId="4" borderId="1" xfId="0" applyNumberFormat="1" applyFont="1" applyFill="1" applyBorder="1" applyAlignment="1"/>
    <xf numFmtId="14" fontId="2" fillId="4" borderId="1" xfId="0" applyNumberFormat="1" applyFont="1" applyFill="1" applyBorder="1" applyAlignment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14" fontId="2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vertical="top"/>
    </xf>
    <xf numFmtId="0" fontId="4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0" xfId="0" applyFill="1" applyAlignment="1">
      <alignment wrapText="1"/>
    </xf>
    <xf numFmtId="0" fontId="0" fillId="0" borderId="0" xfId="0" applyFill="1" applyAlignment="1"/>
    <xf numFmtId="0" fontId="0" fillId="0" borderId="0" xfId="0" applyFill="1" applyBorder="1"/>
    <xf numFmtId="0" fontId="0" fillId="0" borderId="0" xfId="0" applyFill="1"/>
    <xf numFmtId="0" fontId="5" fillId="0" borderId="1" xfId="1" applyBorder="1" applyAlignment="1"/>
    <xf numFmtId="0" fontId="5" fillId="4" borderId="1" xfId="1" applyFill="1" applyBorder="1" applyAlignment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udact.ru/arbitral/doc/w5UmmBcGgVrO/" TargetMode="External"/><Relationship Id="rId18" Type="http://schemas.openxmlformats.org/officeDocument/2006/relationships/hyperlink" Target="https://www.snbank.ru/phi/transfer/sbp/" TargetMode="External"/><Relationship Id="rId26" Type="http://schemas.openxmlformats.org/officeDocument/2006/relationships/hyperlink" Target="https://www.sinko-bank.ru/chastnym_kliyentam/cbp/" TargetMode="External"/><Relationship Id="rId39" Type="http://schemas.openxmlformats.org/officeDocument/2006/relationships/hyperlink" Target="https://www.banki.ru/wikibank/rekomendatsii_banka_rossii_k_internet-saytam_bankov/" TargetMode="External"/><Relationship Id="rId21" Type="http://schemas.openxmlformats.org/officeDocument/2006/relationships/hyperlink" Target="https://zkhclick.ru/kvitantsii/ooo_uo_armada-51561/" TargetMode="External"/><Relationship Id="rId34" Type="http://schemas.openxmlformats.org/officeDocument/2006/relationships/hyperlink" Target="https://rosswift.ru/doc/ANNUAL_REPORT_ROSSWIFT_2018.pdf" TargetMode="External"/><Relationship Id="rId42" Type="http://schemas.openxmlformats.org/officeDocument/2006/relationships/hyperlink" Target="https://www.sinko-bank.ru/korporativnym_kliyentam/ekvayring/" TargetMode="External"/><Relationship Id="rId47" Type="http://schemas.openxmlformats.org/officeDocument/2006/relationships/hyperlink" Target="https://www.snbank.ru/phi/cards/" TargetMode="External"/><Relationship Id="rId7" Type="http://schemas.openxmlformats.org/officeDocument/2006/relationships/hyperlink" Target="https://ibank2.sinko-bank.ru/pdocs/iBank_Private_Internet_Bank.pdf" TargetMode="External"/><Relationship Id="rId2" Type="http://schemas.openxmlformats.org/officeDocument/2006/relationships/hyperlink" Target="https://sinara-finance.ru/upload/iblock/4cf/hak9lldbh1bdsz2t6tb48ye47ujqkjj2.pdf" TargetMode="External"/><Relationship Id="rId16" Type="http://schemas.openxmlformats.org/officeDocument/2006/relationships/hyperlink" Target="https://sovcombank.ru/cards/rassrochki/mir" TargetMode="External"/><Relationship Id="rId29" Type="http://schemas.openxmlformats.org/officeDocument/2006/relationships/hyperlink" Target="https://sinara.ru/chastnym-licam/sbp" TargetMode="External"/><Relationship Id="rId11" Type="http://schemas.openxmlformats.org/officeDocument/2006/relationships/hyperlink" Target="https://cibank.ru/ru/news/uvedomlenija-ob-operacijah" TargetMode="External"/><Relationship Id="rId24" Type="http://schemas.openxmlformats.org/officeDocument/2006/relationships/hyperlink" Target="https://www.banki.ru/products/creditcards/catalogue/kreditnyie_kartyi_natsionalnoy_platejnoy_sistemyi_mir_/bank/citibank/" TargetMode="External"/><Relationship Id="rId32" Type="http://schemas.openxmlformats.org/officeDocument/2006/relationships/hyperlink" Target="https://arb.ru/b2b/docs/standart_banka_rossii_sto_br_ibbs_1_0_20khkh_obespechenie_informatsionnoy_bezopa-411941/" TargetMode="External"/><Relationship Id="rId37" Type="http://schemas.openxmlformats.org/officeDocument/2006/relationships/hyperlink" Target="https://rosswift.ru/doc/ROSSWIFT-2017.pdf" TargetMode="External"/><Relationship Id="rId40" Type="http://schemas.openxmlformats.org/officeDocument/2006/relationships/hyperlink" Target="https://www.banki.ru/products/debitcards/catalogue/debetovaya_karta_visa/bank/sibsocbank/?page=2" TargetMode="External"/><Relationship Id="rId45" Type="http://schemas.openxmlformats.org/officeDocument/2006/relationships/hyperlink" Target="https://www.banki.ru/products/debitcards/catalogue/debetovaya_karta_visa/bank/slaviabank/" TargetMode="External"/><Relationship Id="rId5" Type="http://schemas.openxmlformats.org/officeDocument/2006/relationships/hyperlink" Target="https://www.snbank.ru/files/phi/credit/ipoteka/poryadok_uslug.pdf" TargetMode="External"/><Relationship Id="rId15" Type="http://schemas.openxmlformats.org/officeDocument/2006/relationships/hyperlink" Target="https://sovcombank.ru/security" TargetMode="External"/><Relationship Id="rId23" Type="http://schemas.openxmlformats.org/officeDocument/2006/relationships/hyperlink" Target="https://www.banki.ru/products/debitcards/catalogue/karta_mir_s_keshbekom_za_puteshestviya/bank/slaviabank/" TargetMode="External"/><Relationship Id="rId28" Type="http://schemas.openxmlformats.org/officeDocument/2006/relationships/hyperlink" Target="https://sinara.ru/chastnym-licam/karty" TargetMode="External"/><Relationship Id="rId36" Type="http://schemas.openxmlformats.org/officeDocument/2006/relationships/hyperlink" Target="https://www.e-disclosure.ru/portal/FileLoad.ashx?Fileid=636564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sudact.ru/arbitral/doc/SEhdoqhPplJq/" TargetMode="External"/><Relationship Id="rId19" Type="http://schemas.openxmlformats.org/officeDocument/2006/relationships/hyperlink" Target="https://www.snbank.ru/phi/cards/" TargetMode="External"/><Relationship Id="rId31" Type="http://schemas.openxmlformats.org/officeDocument/2006/relationships/hyperlink" Target="https://www.sibsoc.ru/personal/bankovskie-karty/debetovaya-karta-mir/" TargetMode="External"/><Relationship Id="rId44" Type="http://schemas.openxmlformats.org/officeDocument/2006/relationships/hyperlink" Target="https://www.citibank.ru/russia/cards/rus/aeroflot_infinite_main.htm" TargetMode="External"/><Relationship Id="rId4" Type="http://schemas.openxmlformats.org/officeDocument/2006/relationships/hyperlink" Target="https://www.citibank.com/transactionservices/home/region/university/we_eb_ru/docs/CCU%20Setup%20Guide.pdf" TargetMode="External"/><Relationship Id="rId9" Type="http://schemas.openxmlformats.org/officeDocument/2006/relationships/hyperlink" Target="https://www.sibsoc.ru/files/Dogovor%20agent.doc" TargetMode="External"/><Relationship Id="rId14" Type="http://schemas.openxmlformats.org/officeDocument/2006/relationships/hyperlink" Target="https://www.snbank.ru/otchetnost/poryadok_pretenziy/" TargetMode="External"/><Relationship Id="rId22" Type="http://schemas.openxmlformats.org/officeDocument/2006/relationships/hyperlink" Target="https://brobank.ru/sbp-banki-uchastniki/" TargetMode="External"/><Relationship Id="rId27" Type="http://schemas.openxmlformats.org/officeDocument/2006/relationships/hyperlink" Target="https://www.sinko-bank.ru/chastnym_kliyentam/debetovie_karty/" TargetMode="External"/><Relationship Id="rId30" Type="http://schemas.openxmlformats.org/officeDocument/2006/relationships/hyperlink" Target="https://www.sibsoc.ru/personal/sistema-bystryx-platezhej/" TargetMode="External"/><Relationship Id="rId35" Type="http://schemas.openxmlformats.org/officeDocument/2006/relationships/hyperlink" Target="https://www.dialognauka.ru/about/reviews/zao-kb-sitibank/" TargetMode="External"/><Relationship Id="rId43" Type="http://schemas.openxmlformats.org/officeDocument/2006/relationships/hyperlink" Target="https://cibank.ru/ru/retail/cards/visa/visa" TargetMode="External"/><Relationship Id="rId48" Type="http://schemas.openxmlformats.org/officeDocument/2006/relationships/hyperlink" Target="https://sovcombank.ru/apply/cards/credit/viza/" TargetMode="External"/><Relationship Id="rId8" Type="http://schemas.openxmlformats.org/officeDocument/2006/relationships/hyperlink" Target="https://www.sinko-bank.ru/o_banke/press-tsentr/news/?id=623" TargetMode="External"/><Relationship Id="rId3" Type="http://schemas.openxmlformats.org/officeDocument/2006/relationships/hyperlink" Target="https://cibank.ru/ftpgetfile.php?id=519&amp;module=files" TargetMode="External"/><Relationship Id="rId12" Type="http://schemas.openxmlformats.org/officeDocument/2006/relationships/hyperlink" Target="https://www.citibank.ru/russia/News/rus/news.htm" TargetMode="External"/><Relationship Id="rId17" Type="http://schemas.openxmlformats.org/officeDocument/2006/relationships/hyperlink" Target="https://sovcombank.ru/payments/sbp" TargetMode="External"/><Relationship Id="rId25" Type="http://schemas.openxmlformats.org/officeDocument/2006/relationships/hyperlink" Target="https://www.banki.ru/products/debitcards/catalogue/debetovaya_karta_mir/bank/cibank/" TargetMode="External"/><Relationship Id="rId33" Type="http://schemas.openxmlformats.org/officeDocument/2006/relationships/hyperlink" Target="https://www.press-release.ru/branches/i/?p=5606" TargetMode="External"/><Relationship Id="rId38" Type="http://schemas.openxmlformats.org/officeDocument/2006/relationships/hyperlink" Target="https://astra-st.ru/taxonomy/term/336" TargetMode="External"/><Relationship Id="rId46" Type="http://schemas.openxmlformats.org/officeDocument/2006/relationships/hyperlink" Target="https://www.banki.ru/products/creditcards/catalogue/kreditnyie_kartyi_visa/bank/slavyanbank/" TargetMode="External"/><Relationship Id="rId20" Type="http://schemas.openxmlformats.org/officeDocument/2006/relationships/hyperlink" Target="https://www.banki.ru/products/debitcards/slavyanbank/" TargetMode="External"/><Relationship Id="rId41" Type="http://schemas.openxmlformats.org/officeDocument/2006/relationships/hyperlink" Target="https://sinara.ru/chastnym-licam/karty/premialnaya-karta" TargetMode="External"/><Relationship Id="rId1" Type="http://schemas.openxmlformats.org/officeDocument/2006/relationships/hyperlink" Target="https://www.sibsoc.ru/files/doc_bg.doc" TargetMode="External"/><Relationship Id="rId6" Type="http://schemas.openxmlformats.org/officeDocument/2006/relationships/hyperlink" Target="https://sovcombank.ru/business/servisi/elektronnaya-podp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47E9-A83F-4FDB-BBC0-2849E855AB04}">
  <dimension ref="A1:X27"/>
  <sheetViews>
    <sheetView tabSelected="1" zoomScaleNormal="100" workbookViewId="0">
      <pane xSplit="1" topLeftCell="B1" activePane="topRight" state="frozen"/>
      <selection pane="topRight" activeCell="A3" sqref="A3"/>
    </sheetView>
  </sheetViews>
  <sheetFormatPr defaultRowHeight="15.75" x14ac:dyDescent="0.25"/>
  <cols>
    <col min="1" max="1" width="30.7109375" customWidth="1"/>
    <col min="2" max="2" width="6.85546875" customWidth="1"/>
    <col min="3" max="3" width="22.42578125" customWidth="1"/>
    <col min="4" max="4" width="16" style="3" customWidth="1"/>
    <col min="5" max="5" width="18.28515625" customWidth="1"/>
    <col min="6" max="6" width="14.7109375" customWidth="1"/>
    <col min="7" max="7" width="11.28515625" customWidth="1"/>
    <col min="8" max="8" width="72.5703125" customWidth="1"/>
    <col min="9" max="9" width="28.85546875" customWidth="1"/>
    <col min="10" max="10" width="20.5703125" customWidth="1"/>
    <col min="11" max="11" width="45.140625" style="4" customWidth="1"/>
    <col min="12" max="12" width="14.42578125" customWidth="1"/>
    <col min="13" max="13" width="14.140625" customWidth="1"/>
    <col min="14" max="14" width="14" customWidth="1"/>
    <col min="15" max="15" width="14.7109375" style="6" customWidth="1"/>
    <col min="16" max="16" width="17.42578125" customWidth="1"/>
    <col min="17" max="22" width="27" customWidth="1"/>
    <col min="25" max="16384" width="9.140625" style="55"/>
  </cols>
  <sheetData>
    <row r="1" spans="1:24" s="52" customFormat="1" ht="34.15" customHeight="1" x14ac:dyDescent="0.25">
      <c r="A1" s="8" t="s">
        <v>20</v>
      </c>
      <c r="B1" s="8" t="s">
        <v>21</v>
      </c>
      <c r="C1" s="8" t="s">
        <v>23</v>
      </c>
      <c r="D1" s="9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10" t="s">
        <v>31</v>
      </c>
      <c r="L1" s="8" t="s">
        <v>32</v>
      </c>
      <c r="M1" s="8" t="s">
        <v>33</v>
      </c>
      <c r="N1" s="8" t="s">
        <v>34</v>
      </c>
      <c r="O1" s="11" t="s">
        <v>96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  <c r="U1" s="8" t="s">
        <v>40</v>
      </c>
      <c r="V1" s="8" t="s">
        <v>41</v>
      </c>
      <c r="W1" s="8"/>
      <c r="X1" s="8" t="s">
        <v>43</v>
      </c>
    </row>
    <row r="2" spans="1:24" s="53" customFormat="1" ht="18.600000000000001" customHeight="1" x14ac:dyDescent="0.25">
      <c r="A2" s="12" t="s">
        <v>0</v>
      </c>
      <c r="B2" s="58" t="s">
        <v>45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</row>
    <row r="3" spans="1:24" s="53" customFormat="1" ht="18.600000000000001" customHeight="1" x14ac:dyDescent="0.25">
      <c r="A3" s="12" t="s">
        <v>1</v>
      </c>
      <c r="B3" s="13">
        <v>522</v>
      </c>
      <c r="C3" s="15">
        <v>2015</v>
      </c>
      <c r="D3" s="16" t="s">
        <v>54</v>
      </c>
      <c r="E3" s="10" t="s">
        <v>64</v>
      </c>
      <c r="F3" s="17">
        <v>33837</v>
      </c>
      <c r="G3" s="15" t="s">
        <v>175</v>
      </c>
      <c r="H3" s="15" t="s">
        <v>67</v>
      </c>
      <c r="I3" s="10" t="s">
        <v>76</v>
      </c>
      <c r="J3" s="18">
        <v>42829</v>
      </c>
      <c r="K3" s="10" t="s">
        <v>77</v>
      </c>
      <c r="L3" s="13" t="s">
        <v>126</v>
      </c>
      <c r="M3" s="13" t="s">
        <v>109</v>
      </c>
      <c r="N3" s="13" t="s">
        <v>109</v>
      </c>
      <c r="O3" s="19">
        <v>7202072360</v>
      </c>
      <c r="P3" s="10" t="s">
        <v>110</v>
      </c>
      <c r="Q3" s="56" t="s">
        <v>124</v>
      </c>
      <c r="R3" s="56" t="s">
        <v>133</v>
      </c>
      <c r="S3" s="56" t="s">
        <v>157</v>
      </c>
      <c r="T3" s="56" t="s">
        <v>156</v>
      </c>
      <c r="U3" s="56" t="s">
        <v>158</v>
      </c>
      <c r="V3" s="56" t="s">
        <v>167</v>
      </c>
      <c r="W3" s="10"/>
      <c r="X3" s="10">
        <v>18</v>
      </c>
    </row>
    <row r="4" spans="1:24" s="53" customFormat="1" ht="18.600000000000001" customHeight="1" x14ac:dyDescent="0.25">
      <c r="A4" s="12" t="s">
        <v>2</v>
      </c>
      <c r="B4" s="58" t="s">
        <v>47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</row>
    <row r="5" spans="1:24" s="53" customFormat="1" ht="18.600000000000001" customHeight="1" x14ac:dyDescent="0.25">
      <c r="A5" s="12" t="s">
        <v>3</v>
      </c>
      <c r="B5" s="58" t="s">
        <v>46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</row>
    <row r="6" spans="1:24" s="53" customFormat="1" ht="18.600000000000001" customHeight="1" x14ac:dyDescent="0.25">
      <c r="A6" s="39" t="s">
        <v>4</v>
      </c>
      <c r="B6" s="40">
        <v>525</v>
      </c>
      <c r="C6" s="41">
        <v>705</v>
      </c>
      <c r="D6" s="42" t="s">
        <v>55</v>
      </c>
      <c r="E6" s="41" t="s">
        <v>65</v>
      </c>
      <c r="F6" s="43">
        <v>33179</v>
      </c>
      <c r="G6" s="39" t="s">
        <v>175</v>
      </c>
      <c r="H6" s="41" t="s">
        <v>67</v>
      </c>
      <c r="I6" s="39" t="s">
        <v>78</v>
      </c>
      <c r="J6" s="44">
        <v>44643</v>
      </c>
      <c r="K6" s="39" t="s">
        <v>79</v>
      </c>
      <c r="L6" s="40" t="s">
        <v>126</v>
      </c>
      <c r="M6" s="40" t="s">
        <v>101</v>
      </c>
      <c r="N6" s="44">
        <v>40541</v>
      </c>
      <c r="O6" s="45">
        <v>6608003052</v>
      </c>
      <c r="P6" s="46" t="s">
        <v>111</v>
      </c>
      <c r="Q6" s="57" t="s">
        <v>125</v>
      </c>
      <c r="R6" s="57" t="s">
        <v>134</v>
      </c>
      <c r="S6" s="57" t="s">
        <v>154</v>
      </c>
      <c r="T6" s="57" t="s">
        <v>155</v>
      </c>
      <c r="U6" s="39" t="s">
        <v>159</v>
      </c>
      <c r="V6" s="57" t="s">
        <v>168</v>
      </c>
      <c r="W6" s="39"/>
      <c r="X6" s="39">
        <v>22</v>
      </c>
    </row>
    <row r="7" spans="1:24" s="53" customFormat="1" ht="18.600000000000001" customHeight="1" x14ac:dyDescent="0.25">
      <c r="A7" s="12" t="s">
        <v>5</v>
      </c>
      <c r="B7" s="13">
        <v>526</v>
      </c>
      <c r="C7" s="15">
        <v>2838</v>
      </c>
      <c r="D7" s="16" t="s">
        <v>56</v>
      </c>
      <c r="E7" s="15" t="s">
        <v>64</v>
      </c>
      <c r="F7" s="17">
        <v>34470</v>
      </c>
      <c r="G7" s="10" t="s">
        <v>175</v>
      </c>
      <c r="H7" s="15" t="s">
        <v>68</v>
      </c>
      <c r="I7" s="10" t="s">
        <v>80</v>
      </c>
      <c r="J7" s="18">
        <v>42328</v>
      </c>
      <c r="K7" s="10" t="s">
        <v>81</v>
      </c>
      <c r="L7" s="13" t="s">
        <v>126</v>
      </c>
      <c r="M7" s="13" t="s">
        <v>100</v>
      </c>
      <c r="N7" s="20">
        <v>40091</v>
      </c>
      <c r="O7" s="19">
        <v>7703004072</v>
      </c>
      <c r="P7" s="10" t="s">
        <v>112</v>
      </c>
      <c r="Q7" s="56" t="s">
        <v>131</v>
      </c>
      <c r="R7" s="56" t="s">
        <v>132</v>
      </c>
      <c r="S7" s="56" t="s">
        <v>153</v>
      </c>
      <c r="T7" s="56" t="s">
        <v>152</v>
      </c>
      <c r="U7" s="56" t="s">
        <v>160</v>
      </c>
      <c r="V7" s="56" t="s">
        <v>169</v>
      </c>
      <c r="W7" s="10"/>
      <c r="X7" s="10">
        <v>18</v>
      </c>
    </row>
    <row r="8" spans="1:24" s="53" customFormat="1" ht="18.600000000000001" customHeight="1" x14ac:dyDescent="0.25">
      <c r="A8" s="12" t="s">
        <v>6</v>
      </c>
      <c r="B8" s="13">
        <v>527</v>
      </c>
      <c r="C8" s="10">
        <v>2846</v>
      </c>
      <c r="D8" s="16" t="s">
        <v>57</v>
      </c>
      <c r="E8" s="15" t="s">
        <v>64</v>
      </c>
      <c r="F8" s="17">
        <v>34471</v>
      </c>
      <c r="G8" s="10" t="s">
        <v>175</v>
      </c>
      <c r="H8" s="15" t="s">
        <v>69</v>
      </c>
      <c r="I8" s="10" t="s">
        <v>82</v>
      </c>
      <c r="J8" s="18">
        <v>41997</v>
      </c>
      <c r="K8" s="10" t="s">
        <v>83</v>
      </c>
      <c r="L8" s="13" t="s">
        <v>126</v>
      </c>
      <c r="M8" s="13" t="s">
        <v>102</v>
      </c>
      <c r="N8" s="20">
        <v>41120</v>
      </c>
      <c r="O8" s="19">
        <v>7705003797</v>
      </c>
      <c r="P8" s="10" t="s">
        <v>113</v>
      </c>
      <c r="Q8" s="10" t="s">
        <v>126</v>
      </c>
      <c r="R8" s="10" t="s">
        <v>126</v>
      </c>
      <c r="S8" s="10" t="s">
        <v>126</v>
      </c>
      <c r="T8" s="10" t="s">
        <v>126</v>
      </c>
      <c r="U8" s="10" t="s">
        <v>126</v>
      </c>
      <c r="V8" s="10" t="s">
        <v>126</v>
      </c>
      <c r="W8" s="10"/>
      <c r="X8" s="10">
        <v>15</v>
      </c>
    </row>
    <row r="9" spans="1:24" s="53" customFormat="1" ht="18.600000000000001" customHeight="1" x14ac:dyDescent="0.25">
      <c r="A9" s="39" t="s">
        <v>7</v>
      </c>
      <c r="B9" s="40">
        <v>528</v>
      </c>
      <c r="C9" s="41">
        <v>3194</v>
      </c>
      <c r="D9" s="42" t="s">
        <v>58</v>
      </c>
      <c r="E9" s="41" t="s">
        <v>66</v>
      </c>
      <c r="F9" s="43">
        <v>34698</v>
      </c>
      <c r="G9" s="39" t="s">
        <v>175</v>
      </c>
      <c r="H9" s="41" t="s">
        <v>70</v>
      </c>
      <c r="I9" s="39" t="s">
        <v>84</v>
      </c>
      <c r="J9" s="44">
        <v>42353</v>
      </c>
      <c r="K9" s="39" t="s">
        <v>85</v>
      </c>
      <c r="L9" s="40" t="s">
        <v>126</v>
      </c>
      <c r="M9" s="40" t="s">
        <v>103</v>
      </c>
      <c r="N9" s="47">
        <v>39863</v>
      </c>
      <c r="O9" s="45">
        <v>7831001422</v>
      </c>
      <c r="P9" s="39" t="s">
        <v>114</v>
      </c>
      <c r="Q9" s="57" t="s">
        <v>127</v>
      </c>
      <c r="R9" s="57" t="s">
        <v>135</v>
      </c>
      <c r="S9" s="57" t="s">
        <v>149</v>
      </c>
      <c r="T9" s="57" t="s">
        <v>150</v>
      </c>
      <c r="U9" s="57" t="s">
        <v>161</v>
      </c>
      <c r="V9" s="57" t="s">
        <v>170</v>
      </c>
      <c r="W9" s="39"/>
      <c r="X9" s="39">
        <v>21</v>
      </c>
    </row>
    <row r="10" spans="1:24" s="53" customFormat="1" ht="18.600000000000001" customHeight="1" x14ac:dyDescent="0.25">
      <c r="A10" s="39" t="s">
        <v>8</v>
      </c>
      <c r="B10" s="40">
        <v>529</v>
      </c>
      <c r="C10" s="41">
        <v>2557</v>
      </c>
      <c r="D10" s="42" t="s">
        <v>59</v>
      </c>
      <c r="E10" s="41" t="s">
        <v>66</v>
      </c>
      <c r="F10" s="43">
        <v>34698</v>
      </c>
      <c r="G10" s="39" t="s">
        <v>175</v>
      </c>
      <c r="H10" s="41" t="s">
        <v>71</v>
      </c>
      <c r="I10" s="39" t="s">
        <v>86</v>
      </c>
      <c r="J10" s="44">
        <v>42202</v>
      </c>
      <c r="K10" s="39" t="s">
        <v>87</v>
      </c>
      <c r="L10" s="40" t="s">
        <v>126</v>
      </c>
      <c r="M10" s="40" t="s">
        <v>104</v>
      </c>
      <c r="N10" s="47">
        <v>40618</v>
      </c>
      <c r="O10" s="45" t="s">
        <v>97</v>
      </c>
      <c r="P10" s="39" t="s">
        <v>115</v>
      </c>
      <c r="Q10" s="57" t="s">
        <v>128</v>
      </c>
      <c r="R10" s="57" t="s">
        <v>136</v>
      </c>
      <c r="S10" s="57" t="s">
        <v>148</v>
      </c>
      <c r="T10" s="57" t="s">
        <v>151</v>
      </c>
      <c r="U10" s="57" t="s">
        <v>162</v>
      </c>
      <c r="V10" s="57" t="s">
        <v>171</v>
      </c>
      <c r="W10" s="39"/>
      <c r="X10" s="39">
        <v>21</v>
      </c>
    </row>
    <row r="11" spans="1:24" s="53" customFormat="1" ht="18.600000000000001" customHeight="1" x14ac:dyDescent="0.25">
      <c r="A11" s="12" t="s">
        <v>9</v>
      </c>
      <c r="B11" s="13">
        <v>530</v>
      </c>
      <c r="C11" s="15">
        <v>2664</v>
      </c>
      <c r="D11" s="16" t="s">
        <v>60</v>
      </c>
      <c r="E11" s="15" t="s">
        <v>66</v>
      </c>
      <c r="F11" s="17">
        <v>34361</v>
      </c>
      <c r="G11" s="10" t="s">
        <v>175</v>
      </c>
      <c r="H11" s="15" t="s">
        <v>72</v>
      </c>
      <c r="I11" s="10" t="s">
        <v>88</v>
      </c>
      <c r="J11" s="18">
        <v>41660</v>
      </c>
      <c r="K11" s="10" t="s">
        <v>89</v>
      </c>
      <c r="L11" s="13" t="s">
        <v>126</v>
      </c>
      <c r="M11" s="13" t="s">
        <v>105</v>
      </c>
      <c r="N11" s="20">
        <v>41268</v>
      </c>
      <c r="O11" s="19">
        <v>7726000596</v>
      </c>
      <c r="P11" s="10" t="s">
        <v>116</v>
      </c>
      <c r="Q11" s="10" t="s">
        <v>126</v>
      </c>
      <c r="R11" s="56" t="s">
        <v>137</v>
      </c>
      <c r="S11" s="56" t="s">
        <v>147</v>
      </c>
      <c r="T11" s="56" t="s">
        <v>146</v>
      </c>
      <c r="U11" s="56" t="s">
        <v>163</v>
      </c>
      <c r="V11" s="56" t="s">
        <v>172</v>
      </c>
      <c r="W11" s="10"/>
      <c r="X11" s="10">
        <v>18</v>
      </c>
    </row>
    <row r="12" spans="1:24" s="53" customFormat="1" ht="18.600000000000001" customHeight="1" x14ac:dyDescent="0.25">
      <c r="A12" s="12" t="s">
        <v>10</v>
      </c>
      <c r="B12" s="13">
        <v>531</v>
      </c>
      <c r="C12" s="15">
        <v>804</v>
      </c>
      <c r="D12" s="16" t="s">
        <v>61</v>
      </c>
      <c r="E12" s="15" t="s">
        <v>66</v>
      </c>
      <c r="F12" s="17">
        <v>34361</v>
      </c>
      <c r="G12" s="10" t="s">
        <v>175</v>
      </c>
      <c r="H12" s="15" t="s">
        <v>73</v>
      </c>
      <c r="I12" s="10" t="s">
        <v>90</v>
      </c>
      <c r="J12" s="18">
        <v>41880</v>
      </c>
      <c r="K12" s="10" t="s">
        <v>91</v>
      </c>
      <c r="L12" s="13" t="s">
        <v>126</v>
      </c>
      <c r="M12" s="13" t="s">
        <v>106</v>
      </c>
      <c r="N12" s="20">
        <v>40718</v>
      </c>
      <c r="O12" s="19">
        <v>5321068480</v>
      </c>
      <c r="P12" s="10" t="s">
        <v>117</v>
      </c>
      <c r="Q12" s="10" t="s">
        <v>126</v>
      </c>
      <c r="R12" s="10" t="s">
        <v>126</v>
      </c>
      <c r="S12" s="56" t="s">
        <v>144</v>
      </c>
      <c r="T12" s="56" t="s">
        <v>145</v>
      </c>
      <c r="U12" s="56" t="s">
        <v>164</v>
      </c>
      <c r="V12" s="56" t="s">
        <v>173</v>
      </c>
      <c r="W12" s="10"/>
      <c r="X12" s="10">
        <v>18</v>
      </c>
    </row>
    <row r="13" spans="1:24" s="53" customFormat="1" ht="18.600000000000001" customHeight="1" x14ac:dyDescent="0.25">
      <c r="A13" s="12" t="s">
        <v>11</v>
      </c>
      <c r="B13" s="58" t="s">
        <v>48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</row>
    <row r="14" spans="1:24" s="53" customFormat="1" ht="18.600000000000001" customHeight="1" x14ac:dyDescent="0.25">
      <c r="A14" s="12" t="s">
        <v>12</v>
      </c>
      <c r="B14" s="58" t="s">
        <v>49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</row>
    <row r="15" spans="1:24" s="53" customFormat="1" ht="18.600000000000001" customHeight="1" x14ac:dyDescent="0.25">
      <c r="A15" s="12" t="s">
        <v>13</v>
      </c>
      <c r="B15" s="58" t="s">
        <v>50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</row>
    <row r="16" spans="1:24" s="53" customFormat="1" ht="18.600000000000001" customHeight="1" x14ac:dyDescent="0.25">
      <c r="A16" s="12" t="s">
        <v>14</v>
      </c>
      <c r="B16" s="58" t="s">
        <v>45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</row>
    <row r="17" spans="1:24" s="53" customFormat="1" ht="18.600000000000001" customHeight="1" x14ac:dyDescent="0.25">
      <c r="A17" s="12" t="s">
        <v>15</v>
      </c>
      <c r="B17" s="13">
        <v>536</v>
      </c>
      <c r="C17" s="15">
        <v>1376</v>
      </c>
      <c r="D17" s="16" t="s">
        <v>62</v>
      </c>
      <c r="E17" s="15" t="s">
        <v>66</v>
      </c>
      <c r="F17" s="17">
        <v>34361</v>
      </c>
      <c r="G17" s="10" t="s">
        <v>175</v>
      </c>
      <c r="H17" s="15" t="s">
        <v>74</v>
      </c>
      <c r="I17" s="10" t="s">
        <v>92</v>
      </c>
      <c r="J17" s="18">
        <v>41935</v>
      </c>
      <c r="K17" s="10" t="s">
        <v>93</v>
      </c>
      <c r="L17" s="13" t="s">
        <v>126</v>
      </c>
      <c r="M17" s="13" t="s">
        <v>107</v>
      </c>
      <c r="N17" s="20">
        <v>40955</v>
      </c>
      <c r="O17" s="19" t="s">
        <v>98</v>
      </c>
      <c r="P17" s="10" t="s">
        <v>118</v>
      </c>
      <c r="Q17" s="56" t="s">
        <v>129</v>
      </c>
      <c r="R17" s="56" t="s">
        <v>138</v>
      </c>
      <c r="S17" s="56" t="s">
        <v>143</v>
      </c>
      <c r="T17" s="56" t="s">
        <v>142</v>
      </c>
      <c r="U17" s="56" t="s">
        <v>165</v>
      </c>
      <c r="V17" s="56" t="s">
        <v>143</v>
      </c>
      <c r="W17" s="10"/>
      <c r="X17" s="10">
        <v>19</v>
      </c>
    </row>
    <row r="18" spans="1:24" s="53" customFormat="1" ht="18.600000000000001" customHeight="1" x14ac:dyDescent="0.25">
      <c r="A18" s="12" t="s">
        <v>16</v>
      </c>
      <c r="B18" s="58" t="s">
        <v>51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</row>
    <row r="19" spans="1:24" s="53" customFormat="1" ht="18.600000000000001" customHeight="1" x14ac:dyDescent="0.25">
      <c r="A19" s="12" t="s">
        <v>17</v>
      </c>
      <c r="B19" s="58" t="s">
        <v>52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</row>
    <row r="20" spans="1:24" s="53" customFormat="1" ht="18.600000000000001" customHeight="1" x14ac:dyDescent="0.25">
      <c r="A20" s="39" t="s">
        <v>18</v>
      </c>
      <c r="B20" s="40">
        <v>539</v>
      </c>
      <c r="C20" s="41">
        <v>963</v>
      </c>
      <c r="D20" s="42" t="s">
        <v>63</v>
      </c>
      <c r="E20" s="41" t="s">
        <v>65</v>
      </c>
      <c r="F20" s="43">
        <v>33204</v>
      </c>
      <c r="G20" s="39" t="s">
        <v>175</v>
      </c>
      <c r="H20" s="48" t="s">
        <v>75</v>
      </c>
      <c r="I20" s="39" t="s">
        <v>94</v>
      </c>
      <c r="J20" s="44">
        <v>43791</v>
      </c>
      <c r="K20" s="39" t="s">
        <v>95</v>
      </c>
      <c r="L20" s="40" t="s">
        <v>126</v>
      </c>
      <c r="M20" s="40" t="s">
        <v>108</v>
      </c>
      <c r="N20" s="47">
        <v>41936</v>
      </c>
      <c r="O20" s="45" t="s">
        <v>99</v>
      </c>
      <c r="P20" s="39" t="s">
        <v>119</v>
      </c>
      <c r="Q20" s="57" t="s">
        <v>130</v>
      </c>
      <c r="R20" s="57" t="s">
        <v>139</v>
      </c>
      <c r="S20" s="57" t="s">
        <v>140</v>
      </c>
      <c r="T20" s="57" t="s">
        <v>141</v>
      </c>
      <c r="U20" s="57" t="s">
        <v>166</v>
      </c>
      <c r="V20" s="57" t="s">
        <v>174</v>
      </c>
      <c r="W20" s="39"/>
      <c r="X20" s="39">
        <v>23</v>
      </c>
    </row>
    <row r="21" spans="1:24" s="53" customFormat="1" ht="18.600000000000001" customHeight="1" x14ac:dyDescent="0.25">
      <c r="A21" s="12" t="s">
        <v>19</v>
      </c>
      <c r="B21" s="58" t="s">
        <v>53</v>
      </c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</row>
    <row r="22" spans="1:24" s="54" customFormat="1" ht="16.5" thickBot="1" x14ac:dyDescent="0.3">
      <c r="A22" s="1"/>
      <c r="B22" s="1"/>
      <c r="C22" s="1"/>
      <c r="D22" s="2"/>
      <c r="E22" s="1"/>
      <c r="F22" s="1"/>
      <c r="G22" s="1"/>
      <c r="H22" s="1"/>
      <c r="I22" s="1"/>
      <c r="J22" s="1"/>
      <c r="K22" s="5"/>
      <c r="L22" s="1"/>
      <c r="M22" s="1"/>
      <c r="N22" s="1"/>
      <c r="O22" s="7"/>
      <c r="P22" s="1"/>
      <c r="Q22" s="1"/>
      <c r="R22" s="1"/>
      <c r="S22" s="1"/>
      <c r="T22" s="1"/>
      <c r="U22" s="1"/>
      <c r="V22" s="1"/>
      <c r="W22" s="1"/>
      <c r="X22" s="1"/>
    </row>
    <row r="23" spans="1:24" ht="16.5" thickTop="1" x14ac:dyDescent="0.25">
      <c r="A23" s="49" t="s">
        <v>120</v>
      </c>
    </row>
    <row r="24" spans="1:24" x14ac:dyDescent="0.25">
      <c r="A24" s="50" t="s">
        <v>121</v>
      </c>
    </row>
    <row r="25" spans="1:24" x14ac:dyDescent="0.25">
      <c r="A25" s="50" t="s">
        <v>122</v>
      </c>
    </row>
    <row r="26" spans="1:24" ht="16.5" thickBot="1" x14ac:dyDescent="0.3">
      <c r="A26" s="51" t="s">
        <v>123</v>
      </c>
      <c r="L26" s="1"/>
    </row>
    <row r="27" spans="1:24" ht="16.5" thickTop="1" x14ac:dyDescent="0.25">
      <c r="L27" s="1"/>
    </row>
  </sheetData>
  <mergeCells count="10">
    <mergeCell ref="B18:X18"/>
    <mergeCell ref="B19:X19"/>
    <mergeCell ref="B21:X21"/>
    <mergeCell ref="B16:X16"/>
    <mergeCell ref="B2:X2"/>
    <mergeCell ref="B4:X4"/>
    <mergeCell ref="B5:X5"/>
    <mergeCell ref="B13:X13"/>
    <mergeCell ref="B14:X14"/>
    <mergeCell ref="B15:X15"/>
  </mergeCells>
  <hyperlinks>
    <hyperlink ref="Q3" r:id="rId1" xr:uid="{836484D7-4E45-415C-99E7-DF2447D4BF5E}"/>
    <hyperlink ref="Q6" r:id="rId2" xr:uid="{73063B5A-FFA2-4E22-AEE4-5842E24C574A}"/>
    <hyperlink ref="Q9" r:id="rId3" xr:uid="{6C36093C-3CB3-4138-8EB8-AD7745D5B36B}"/>
    <hyperlink ref="Q10" r:id="rId4" xr:uid="{E44B64F8-E509-4A43-9DAE-17A82EEE42EE}"/>
    <hyperlink ref="Q17" r:id="rId5" xr:uid="{CEFD9D31-CA0A-49D9-9F98-601231684E8B}"/>
    <hyperlink ref="Q20" r:id="rId6" xr:uid="{1B3929DF-59E6-42F6-89C3-9B6771FB227F}"/>
    <hyperlink ref="Q7" r:id="rId7" xr:uid="{102390E2-2968-4165-8DAB-F89E11011C32}"/>
    <hyperlink ref="R7" r:id="rId8" xr:uid="{E4FCD79B-1894-470B-B987-B0F6DD2CEA5F}"/>
    <hyperlink ref="R3" r:id="rId9" xr:uid="{73596CED-DD02-426C-8588-DE34BF4AEEEC}"/>
    <hyperlink ref="R6" r:id="rId10" xr:uid="{3123616D-E26D-42D4-8C1C-B209D988F738}"/>
    <hyperlink ref="R9" r:id="rId11" xr:uid="{28527434-65F5-4233-9EE7-20F4B84033C3}"/>
    <hyperlink ref="R10" r:id="rId12" xr:uid="{4DF6F553-7198-4A0E-83A9-12D6A12DB72D}"/>
    <hyperlink ref="R11" r:id="rId13" xr:uid="{3E16C5B0-9807-437D-9106-60E480113C36}"/>
    <hyperlink ref="R17" r:id="rId14" xr:uid="{C60D4D72-99C7-493E-B0E3-E02BB5C86745}"/>
    <hyperlink ref="R20" r:id="rId15" xr:uid="{B3252A61-F637-46F2-B16B-483ABDDC154F}"/>
    <hyperlink ref="S20" r:id="rId16" xr:uid="{1EBC7375-EC8C-4989-BF73-16653044D67D}"/>
    <hyperlink ref="T20" r:id="rId17" xr:uid="{9A5CB241-80CB-4EFB-A9B8-2E41E3B2A2B0}"/>
    <hyperlink ref="T17" r:id="rId18" xr:uid="{93BCA144-83A8-4F4A-BAB7-8D46F20A48ED}"/>
    <hyperlink ref="S17" r:id="rId19" xr:uid="{FA366206-50FC-4B5E-B115-C8F171832695}"/>
    <hyperlink ref="S12" r:id="rId20" xr:uid="{0249F3F7-1FFD-4A07-98CF-EECAD6EA6224}"/>
    <hyperlink ref="T12" r:id="rId21" xr:uid="{F46E7B84-8277-469D-82DF-D227EA1A85C4}"/>
    <hyperlink ref="T11" r:id="rId22" xr:uid="{B6A779BA-9CC4-4C19-BF20-955BCD23D11B}"/>
    <hyperlink ref="S11" r:id="rId23" xr:uid="{E3DBE790-5A63-49E8-B9B2-92B5A92E474F}"/>
    <hyperlink ref="S10" r:id="rId24" xr:uid="{5DC4830B-D0ED-4B09-A20C-00F1C849FD70}"/>
    <hyperlink ref="S9" r:id="rId25" xr:uid="{22AD9D41-48D6-4452-AD7E-8F178B6380FF}"/>
    <hyperlink ref="T7" r:id="rId26" xr:uid="{99E440A0-AD42-4A10-BA15-5B56B1FA36C8}"/>
    <hyperlink ref="S7" r:id="rId27" xr:uid="{621A496C-68F5-4D0E-8A8E-4F870820BDB5}"/>
    <hyperlink ref="S6" r:id="rId28" xr:uid="{AC5D524F-FB06-4FFF-AEE0-D3CBB1B3A42F}"/>
    <hyperlink ref="T6" r:id="rId29" xr:uid="{C2668B2E-3F2B-4BBD-A279-D1A2B7FDCF7A}"/>
    <hyperlink ref="T3" r:id="rId30" xr:uid="{35BA6055-5D7D-4F7F-BE1F-2BECB6BD3B9E}"/>
    <hyperlink ref="S3" r:id="rId31" xr:uid="{54A339C5-8B80-4B82-88AD-047A5DD8BA99}"/>
    <hyperlink ref="U3" r:id="rId32" xr:uid="{4AE83041-C696-4958-8F14-E2CC01370F14}"/>
    <hyperlink ref="U7" r:id="rId33" xr:uid="{463FCFE2-3D6A-4539-97A9-1B7AFD2237E5}"/>
    <hyperlink ref="U9" r:id="rId34" xr:uid="{008F7F76-995F-4B36-A3A9-35A03CEC76EC}"/>
    <hyperlink ref="U10" r:id="rId35" xr:uid="{39DB0342-B00B-4970-B6B1-C32F145234A6}"/>
    <hyperlink ref="U11" r:id="rId36" xr:uid="{33023293-260E-4650-ADE0-D7B03B1C3672}"/>
    <hyperlink ref="U12" r:id="rId37" xr:uid="{CF7E08C2-0A1B-483E-9704-B1FD2A1F73A1}"/>
    <hyperlink ref="U17" r:id="rId38" xr:uid="{34755A16-7BAB-45EB-B43C-E7CDD6C7B6FE}"/>
    <hyperlink ref="U20" r:id="rId39" xr:uid="{BD37DB6E-D84B-49B2-9072-DA005656DC1C}"/>
    <hyperlink ref="V3" r:id="rId40" xr:uid="{C34E00CA-097B-4E35-895C-9BC408231E55}"/>
    <hyperlink ref="V6" r:id="rId41" xr:uid="{42D7AABA-7D90-4370-A0AC-693FC5421BE7}"/>
    <hyperlink ref="V7" r:id="rId42" xr:uid="{67BD13F8-4842-40FB-B72C-240C8F9DB7E9}"/>
    <hyperlink ref="V9" r:id="rId43" xr:uid="{A9EF1B4F-45C8-48E5-89DE-2767BF90910E}"/>
    <hyperlink ref="V10" r:id="rId44" xr:uid="{682B9420-04EC-4F50-940D-07BAE4FECAFE}"/>
    <hyperlink ref="V11" r:id="rId45" xr:uid="{D4776C7E-C381-4E01-9A5D-3A785ADCE285}"/>
    <hyperlink ref="V12" r:id="rId46" xr:uid="{042A7451-603B-417A-AA3E-4AA6EFCE5FAC}"/>
    <hyperlink ref="V17" r:id="rId47" xr:uid="{685B2E8E-A701-4A3E-90E3-C816A3E06A21}"/>
    <hyperlink ref="V20" r:id="rId48" xr:uid="{ED962CA6-E913-4286-B166-69F3B99120EB}"/>
  </hyperlinks>
  <pageMargins left="0.7" right="0.7" top="0.75" bottom="0.75" header="0.3" footer="0.3"/>
  <pageSetup paperSize="9" orientation="portrait" r:id="rId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937D-E42B-4CB1-8A59-4CF3083DCF01}">
  <dimension ref="A1:AA22"/>
  <sheetViews>
    <sheetView workbookViewId="0">
      <selection activeCell="S27" sqref="S27"/>
    </sheetView>
  </sheetViews>
  <sheetFormatPr defaultRowHeight="15.75" x14ac:dyDescent="0.25"/>
  <cols>
    <col min="1" max="1" width="30.7109375" style="27" customWidth="1"/>
    <col min="2" max="3" width="6.85546875" style="27" customWidth="1"/>
    <col min="4" max="4" width="22.42578125" style="27" customWidth="1"/>
    <col min="5" max="5" width="16" style="35" customWidth="1"/>
    <col min="6" max="6" width="18.28515625" style="27" customWidth="1"/>
    <col min="7" max="7" width="14.7109375" style="36" customWidth="1"/>
    <col min="8" max="8" width="7.42578125" style="27" customWidth="1"/>
    <col min="9" max="9" width="20" style="27" customWidth="1"/>
    <col min="10" max="10" width="28.85546875" style="27" customWidth="1"/>
    <col min="11" max="11" width="20.5703125" style="36" customWidth="1"/>
    <col min="12" max="12" width="45.140625" style="27" customWidth="1"/>
    <col min="13" max="13" width="9.7109375" style="27" customWidth="1"/>
    <col min="14" max="14" width="14.140625" style="27" customWidth="1"/>
    <col min="15" max="15" width="14" style="36" customWidth="1"/>
    <col min="16" max="16" width="14.7109375" style="37" customWidth="1"/>
    <col min="17" max="17" width="17.42578125" style="27" customWidth="1"/>
    <col min="18" max="19" width="9.140625" style="27"/>
    <col min="20" max="20" width="13.42578125" style="27" customWidth="1"/>
    <col min="21" max="16384" width="9.140625" style="27"/>
  </cols>
  <sheetData>
    <row r="1" spans="1:27" s="25" customFormat="1" ht="34.15" customHeight="1" x14ac:dyDescent="0.25">
      <c r="A1" s="22" t="s">
        <v>20</v>
      </c>
      <c r="B1" s="22" t="s">
        <v>21</v>
      </c>
      <c r="C1" s="22" t="s">
        <v>22</v>
      </c>
      <c r="D1" s="22" t="s">
        <v>23</v>
      </c>
      <c r="E1" s="23" t="s">
        <v>24</v>
      </c>
      <c r="F1" s="22" t="s">
        <v>25</v>
      </c>
      <c r="G1" s="24" t="s">
        <v>26</v>
      </c>
      <c r="H1" s="22" t="s">
        <v>27</v>
      </c>
      <c r="I1" s="22" t="s">
        <v>28</v>
      </c>
      <c r="J1" s="22" t="s">
        <v>29</v>
      </c>
      <c r="K1" s="24" t="s">
        <v>30</v>
      </c>
      <c r="L1" s="13" t="s">
        <v>31</v>
      </c>
      <c r="M1" s="22" t="s">
        <v>32</v>
      </c>
      <c r="N1" s="22" t="s">
        <v>33</v>
      </c>
      <c r="O1" s="24" t="s">
        <v>34</v>
      </c>
      <c r="P1" s="22" t="s">
        <v>96</v>
      </c>
      <c r="Q1" s="22" t="s">
        <v>35</v>
      </c>
      <c r="R1" s="22" t="s">
        <v>36</v>
      </c>
      <c r="S1" s="22" t="s">
        <v>37</v>
      </c>
      <c r="T1" s="22" t="s">
        <v>38</v>
      </c>
      <c r="U1" s="22" t="s">
        <v>39</v>
      </c>
      <c r="V1" s="22" t="s">
        <v>40</v>
      </c>
      <c r="W1" s="22" t="s">
        <v>41</v>
      </c>
      <c r="X1" s="22" t="s">
        <v>42</v>
      </c>
      <c r="Y1" s="22"/>
      <c r="Z1" s="22" t="s">
        <v>43</v>
      </c>
      <c r="AA1" s="22" t="s">
        <v>43</v>
      </c>
    </row>
    <row r="2" spans="1:27" ht="18.600000000000001" customHeight="1" x14ac:dyDescent="0.25">
      <c r="A2" s="26" t="s">
        <v>0</v>
      </c>
      <c r="B2" s="59" t="s">
        <v>45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7" ht="18.600000000000001" customHeight="1" x14ac:dyDescent="0.25">
      <c r="A3" s="26" t="s">
        <v>1</v>
      </c>
      <c r="B3" s="13">
        <v>1</v>
      </c>
      <c r="C3" s="14"/>
      <c r="D3" s="28">
        <v>1</v>
      </c>
      <c r="E3" s="21">
        <v>1</v>
      </c>
      <c r="F3" s="13">
        <v>1</v>
      </c>
      <c r="G3" s="29">
        <v>1</v>
      </c>
      <c r="H3" s="28"/>
      <c r="I3" s="28">
        <v>1</v>
      </c>
      <c r="J3" s="13">
        <v>1</v>
      </c>
      <c r="K3" s="21">
        <v>1</v>
      </c>
      <c r="L3" s="13">
        <v>1</v>
      </c>
      <c r="M3" s="13" t="s">
        <v>44</v>
      </c>
      <c r="N3" s="13">
        <v>1</v>
      </c>
      <c r="O3" s="21">
        <v>1</v>
      </c>
      <c r="P3" s="13">
        <v>1</v>
      </c>
      <c r="Q3" s="13">
        <v>1</v>
      </c>
      <c r="R3" s="13">
        <v>1</v>
      </c>
      <c r="S3" s="13">
        <v>1</v>
      </c>
      <c r="T3" s="13">
        <v>1</v>
      </c>
      <c r="U3" s="13">
        <v>1</v>
      </c>
      <c r="V3" s="13">
        <v>0</v>
      </c>
      <c r="W3" s="13">
        <v>1</v>
      </c>
      <c r="X3" s="13">
        <v>0</v>
      </c>
      <c r="Y3" s="13"/>
      <c r="Z3" s="13"/>
      <c r="AA3" s="38">
        <f>SUM(B3:Z3)</f>
        <v>18</v>
      </c>
    </row>
    <row r="4" spans="1:27" ht="18.600000000000001" customHeight="1" x14ac:dyDescent="0.25">
      <c r="A4" s="26" t="s">
        <v>2</v>
      </c>
      <c r="B4" s="59" t="s">
        <v>47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38">
        <f t="shared" ref="AA4:AA21" si="0">SUM(B4:Z4)</f>
        <v>0</v>
      </c>
    </row>
    <row r="5" spans="1:27" ht="18.600000000000001" customHeight="1" x14ac:dyDescent="0.25">
      <c r="A5" s="26" t="s">
        <v>3</v>
      </c>
      <c r="B5" s="59" t="s">
        <v>46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38">
        <f t="shared" si="0"/>
        <v>0</v>
      </c>
    </row>
    <row r="6" spans="1:27" ht="18.600000000000001" customHeight="1" x14ac:dyDescent="0.25">
      <c r="A6" s="26" t="s">
        <v>4</v>
      </c>
      <c r="B6" s="13">
        <v>1</v>
      </c>
      <c r="C6" s="14"/>
      <c r="D6" s="28">
        <v>1</v>
      </c>
      <c r="E6" s="28">
        <v>1</v>
      </c>
      <c r="F6" s="28">
        <v>3</v>
      </c>
      <c r="G6" s="29">
        <v>1</v>
      </c>
      <c r="H6" s="13"/>
      <c r="I6" s="28">
        <v>1</v>
      </c>
      <c r="J6" s="13">
        <v>1</v>
      </c>
      <c r="K6" s="21">
        <v>1</v>
      </c>
      <c r="L6" s="13">
        <v>3</v>
      </c>
      <c r="M6" s="13" t="s">
        <v>44</v>
      </c>
      <c r="N6" s="13">
        <v>1</v>
      </c>
      <c r="O6" s="21">
        <v>1</v>
      </c>
      <c r="P6" s="13">
        <v>1</v>
      </c>
      <c r="Q6" s="13">
        <v>1</v>
      </c>
      <c r="R6" s="13">
        <v>1</v>
      </c>
      <c r="S6" s="13">
        <v>1</v>
      </c>
      <c r="T6" s="13">
        <v>1</v>
      </c>
      <c r="U6" s="13">
        <v>1</v>
      </c>
      <c r="V6" s="13">
        <v>0</v>
      </c>
      <c r="W6" s="13">
        <v>1</v>
      </c>
      <c r="X6" s="13">
        <v>0</v>
      </c>
      <c r="Y6" s="13"/>
      <c r="Z6" s="13"/>
      <c r="AA6" s="38">
        <f t="shared" si="0"/>
        <v>22</v>
      </c>
    </row>
    <row r="7" spans="1:27" ht="18.600000000000001" customHeight="1" x14ac:dyDescent="0.25">
      <c r="A7" s="26" t="s">
        <v>5</v>
      </c>
      <c r="B7" s="13">
        <v>1</v>
      </c>
      <c r="C7" s="14"/>
      <c r="D7" s="28">
        <v>1</v>
      </c>
      <c r="E7" s="28">
        <v>1</v>
      </c>
      <c r="F7" s="28">
        <v>1</v>
      </c>
      <c r="G7" s="29">
        <v>1</v>
      </c>
      <c r="H7" s="13"/>
      <c r="I7" s="28">
        <v>1</v>
      </c>
      <c r="J7" s="13">
        <v>1</v>
      </c>
      <c r="K7" s="21">
        <v>1</v>
      </c>
      <c r="L7" s="13">
        <v>1</v>
      </c>
      <c r="M7" s="13" t="s">
        <v>44</v>
      </c>
      <c r="N7" s="13">
        <v>1</v>
      </c>
      <c r="O7" s="21">
        <v>1</v>
      </c>
      <c r="P7" s="13">
        <v>1</v>
      </c>
      <c r="Q7" s="13">
        <v>1</v>
      </c>
      <c r="R7" s="13">
        <v>1</v>
      </c>
      <c r="S7" s="13">
        <v>1</v>
      </c>
      <c r="T7" s="13">
        <v>1</v>
      </c>
      <c r="U7" s="13">
        <v>1</v>
      </c>
      <c r="V7" s="13">
        <v>0</v>
      </c>
      <c r="W7" s="13">
        <v>1</v>
      </c>
      <c r="X7" s="13">
        <v>0</v>
      </c>
      <c r="Y7" s="13"/>
      <c r="Z7" s="13"/>
      <c r="AA7" s="38">
        <f t="shared" si="0"/>
        <v>18</v>
      </c>
    </row>
    <row r="8" spans="1:27" ht="18.600000000000001" customHeight="1" x14ac:dyDescent="0.25">
      <c r="A8" s="26" t="s">
        <v>6</v>
      </c>
      <c r="B8" s="13">
        <v>1</v>
      </c>
      <c r="C8" s="14"/>
      <c r="D8" s="28">
        <v>1</v>
      </c>
      <c r="E8" s="28">
        <v>1</v>
      </c>
      <c r="F8" s="28">
        <v>1</v>
      </c>
      <c r="G8" s="29">
        <v>1</v>
      </c>
      <c r="H8" s="13"/>
      <c r="I8" s="28">
        <v>1</v>
      </c>
      <c r="J8" s="13">
        <v>1</v>
      </c>
      <c r="K8" s="21">
        <v>1</v>
      </c>
      <c r="L8" s="13">
        <v>2</v>
      </c>
      <c r="M8" s="13" t="s">
        <v>44</v>
      </c>
      <c r="N8" s="13">
        <v>1</v>
      </c>
      <c r="O8" s="21">
        <v>1</v>
      </c>
      <c r="P8" s="13">
        <v>1</v>
      </c>
      <c r="Q8" s="13">
        <v>1</v>
      </c>
      <c r="R8" s="13">
        <v>0</v>
      </c>
      <c r="S8" s="13">
        <v>1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/>
      <c r="Z8" s="13"/>
      <c r="AA8" s="38">
        <f t="shared" si="0"/>
        <v>15</v>
      </c>
    </row>
    <row r="9" spans="1:27" ht="18.600000000000001" customHeight="1" x14ac:dyDescent="0.25">
      <c r="A9" s="26" t="s">
        <v>7</v>
      </c>
      <c r="B9" s="13">
        <v>1</v>
      </c>
      <c r="C9" s="14"/>
      <c r="D9" s="28">
        <v>1</v>
      </c>
      <c r="E9" s="28">
        <v>1</v>
      </c>
      <c r="F9" s="28">
        <v>2</v>
      </c>
      <c r="G9" s="29">
        <v>1</v>
      </c>
      <c r="H9" s="13"/>
      <c r="I9" s="28">
        <v>1</v>
      </c>
      <c r="J9" s="13">
        <v>1</v>
      </c>
      <c r="K9" s="21">
        <v>1</v>
      </c>
      <c r="L9" s="13">
        <v>3</v>
      </c>
      <c r="M9" s="13" t="s">
        <v>44</v>
      </c>
      <c r="N9" s="13">
        <v>1</v>
      </c>
      <c r="O9" s="21">
        <v>1</v>
      </c>
      <c r="P9" s="13">
        <v>1</v>
      </c>
      <c r="Q9" s="13">
        <v>1</v>
      </c>
      <c r="R9" s="13">
        <v>1</v>
      </c>
      <c r="S9" s="13">
        <v>1</v>
      </c>
      <c r="T9" s="13">
        <v>1</v>
      </c>
      <c r="U9" s="13">
        <v>1</v>
      </c>
      <c r="V9" s="13">
        <v>0</v>
      </c>
      <c r="W9" s="13">
        <v>1</v>
      </c>
      <c r="X9" s="13">
        <v>0</v>
      </c>
      <c r="Y9" s="13"/>
      <c r="Z9" s="13"/>
      <c r="AA9" s="38">
        <f t="shared" si="0"/>
        <v>21</v>
      </c>
    </row>
    <row r="10" spans="1:27" ht="18.600000000000001" customHeight="1" x14ac:dyDescent="0.25">
      <c r="A10" s="26" t="s">
        <v>8</v>
      </c>
      <c r="B10" s="13">
        <v>1</v>
      </c>
      <c r="C10" s="14"/>
      <c r="D10" s="28">
        <v>1</v>
      </c>
      <c r="E10" s="28">
        <v>1</v>
      </c>
      <c r="F10" s="28">
        <v>2</v>
      </c>
      <c r="G10" s="29">
        <v>1</v>
      </c>
      <c r="H10" s="13"/>
      <c r="I10" s="28">
        <v>1</v>
      </c>
      <c r="J10" s="13">
        <v>1</v>
      </c>
      <c r="K10" s="21">
        <v>1</v>
      </c>
      <c r="L10" s="13">
        <v>2</v>
      </c>
      <c r="M10" s="13" t="s">
        <v>44</v>
      </c>
      <c r="N10" s="13">
        <v>1</v>
      </c>
      <c r="O10" s="21">
        <v>1</v>
      </c>
      <c r="P10" s="13">
        <v>1</v>
      </c>
      <c r="Q10" s="13">
        <v>1</v>
      </c>
      <c r="R10" s="13">
        <v>1</v>
      </c>
      <c r="S10" s="13">
        <v>1</v>
      </c>
      <c r="T10" s="13">
        <v>1</v>
      </c>
      <c r="U10" s="13">
        <v>1</v>
      </c>
      <c r="V10" s="13">
        <v>1</v>
      </c>
      <c r="W10" s="13">
        <v>1</v>
      </c>
      <c r="X10" s="13">
        <v>0</v>
      </c>
      <c r="Y10" s="13"/>
      <c r="Z10" s="13"/>
      <c r="AA10" s="38">
        <f t="shared" si="0"/>
        <v>21</v>
      </c>
    </row>
    <row r="11" spans="1:27" ht="18.600000000000001" customHeight="1" x14ac:dyDescent="0.25">
      <c r="A11" s="26" t="s">
        <v>9</v>
      </c>
      <c r="B11" s="13">
        <v>1</v>
      </c>
      <c r="C11" s="14"/>
      <c r="D11" s="28">
        <v>1</v>
      </c>
      <c r="E11" s="28">
        <v>1</v>
      </c>
      <c r="F11" s="28">
        <v>2</v>
      </c>
      <c r="G11" s="29">
        <v>1</v>
      </c>
      <c r="H11" s="13"/>
      <c r="I11" s="28">
        <v>1</v>
      </c>
      <c r="J11" s="13">
        <v>1</v>
      </c>
      <c r="K11" s="21">
        <v>1</v>
      </c>
      <c r="L11" s="13">
        <v>2</v>
      </c>
      <c r="M11" s="13" t="s">
        <v>44</v>
      </c>
      <c r="N11" s="13">
        <v>1</v>
      </c>
      <c r="O11" s="21">
        <v>1</v>
      </c>
      <c r="P11" s="13">
        <v>1</v>
      </c>
      <c r="Q11" s="13">
        <v>1</v>
      </c>
      <c r="R11" s="13">
        <v>0</v>
      </c>
      <c r="S11" s="13">
        <v>1</v>
      </c>
      <c r="T11" s="13">
        <v>1</v>
      </c>
      <c r="U11" s="13">
        <v>0</v>
      </c>
      <c r="V11" s="13">
        <v>0</v>
      </c>
      <c r="W11" s="13">
        <v>1</v>
      </c>
      <c r="X11" s="13">
        <v>0</v>
      </c>
      <c r="Y11" s="13"/>
      <c r="Z11" s="13"/>
      <c r="AA11" s="38">
        <f t="shared" si="0"/>
        <v>18</v>
      </c>
    </row>
    <row r="12" spans="1:27" ht="18.600000000000001" customHeight="1" x14ac:dyDescent="0.25">
      <c r="A12" s="26" t="s">
        <v>10</v>
      </c>
      <c r="B12" s="13">
        <v>1</v>
      </c>
      <c r="C12" s="14"/>
      <c r="D12" s="28">
        <v>1</v>
      </c>
      <c r="E12" s="28">
        <v>1</v>
      </c>
      <c r="F12" s="28">
        <v>2</v>
      </c>
      <c r="G12" s="29">
        <v>1</v>
      </c>
      <c r="H12" s="13"/>
      <c r="I12" s="28">
        <v>1</v>
      </c>
      <c r="J12" s="13">
        <v>1</v>
      </c>
      <c r="K12" s="21">
        <v>1</v>
      </c>
      <c r="L12" s="13">
        <v>1</v>
      </c>
      <c r="M12" s="13" t="s">
        <v>44</v>
      </c>
      <c r="N12" s="13">
        <v>1</v>
      </c>
      <c r="O12" s="21">
        <v>1</v>
      </c>
      <c r="P12" s="13">
        <v>1</v>
      </c>
      <c r="Q12" s="13">
        <v>1</v>
      </c>
      <c r="R12" s="13">
        <v>0</v>
      </c>
      <c r="S12" s="13">
        <v>1</v>
      </c>
      <c r="T12" s="13">
        <v>1</v>
      </c>
      <c r="U12" s="13">
        <v>1</v>
      </c>
      <c r="V12" s="13">
        <v>0</v>
      </c>
      <c r="W12" s="13">
        <v>1</v>
      </c>
      <c r="X12" s="13">
        <v>0</v>
      </c>
      <c r="Y12" s="13"/>
      <c r="Z12" s="13"/>
      <c r="AA12" s="38">
        <f t="shared" si="0"/>
        <v>18</v>
      </c>
    </row>
    <row r="13" spans="1:27" ht="18.600000000000001" customHeight="1" x14ac:dyDescent="0.25">
      <c r="A13" s="26" t="s">
        <v>11</v>
      </c>
      <c r="B13" s="59" t="s">
        <v>48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38">
        <f t="shared" si="0"/>
        <v>0</v>
      </c>
    </row>
    <row r="14" spans="1:27" ht="18.600000000000001" customHeight="1" x14ac:dyDescent="0.25">
      <c r="A14" s="26" t="s">
        <v>12</v>
      </c>
      <c r="B14" s="59" t="s">
        <v>49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38">
        <f t="shared" si="0"/>
        <v>0</v>
      </c>
    </row>
    <row r="15" spans="1:27" ht="18.600000000000001" customHeight="1" x14ac:dyDescent="0.25">
      <c r="A15" s="26" t="s">
        <v>13</v>
      </c>
      <c r="B15" s="59" t="s">
        <v>50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38">
        <f t="shared" si="0"/>
        <v>0</v>
      </c>
    </row>
    <row r="16" spans="1:27" ht="18.600000000000001" customHeight="1" x14ac:dyDescent="0.25">
      <c r="A16" s="26" t="s">
        <v>14</v>
      </c>
      <c r="B16" s="59" t="s">
        <v>45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38">
        <f t="shared" si="0"/>
        <v>0</v>
      </c>
    </row>
    <row r="17" spans="1:27" ht="18.600000000000001" customHeight="1" x14ac:dyDescent="0.25">
      <c r="A17" s="26" t="s">
        <v>15</v>
      </c>
      <c r="B17" s="13">
        <v>1</v>
      </c>
      <c r="C17" s="14"/>
      <c r="D17" s="28">
        <v>1</v>
      </c>
      <c r="E17" s="28">
        <v>1</v>
      </c>
      <c r="F17" s="28">
        <v>2</v>
      </c>
      <c r="G17" s="29">
        <v>1</v>
      </c>
      <c r="H17" s="13"/>
      <c r="I17" s="28">
        <v>1</v>
      </c>
      <c r="J17" s="13">
        <v>1</v>
      </c>
      <c r="K17" s="21">
        <v>1</v>
      </c>
      <c r="L17" s="13">
        <v>1</v>
      </c>
      <c r="M17" s="13" t="s">
        <v>44</v>
      </c>
      <c r="N17" s="13">
        <v>1</v>
      </c>
      <c r="O17" s="21">
        <v>1</v>
      </c>
      <c r="P17" s="13">
        <v>1</v>
      </c>
      <c r="Q17" s="13">
        <v>1</v>
      </c>
      <c r="R17" s="13">
        <v>1</v>
      </c>
      <c r="S17" s="13">
        <v>1</v>
      </c>
      <c r="T17" s="13">
        <v>1</v>
      </c>
      <c r="U17" s="13">
        <v>1</v>
      </c>
      <c r="V17" s="13">
        <v>0</v>
      </c>
      <c r="W17" s="13">
        <v>1</v>
      </c>
      <c r="X17" s="13">
        <v>0</v>
      </c>
      <c r="Y17" s="13"/>
      <c r="Z17" s="13"/>
      <c r="AA17" s="38">
        <f t="shared" si="0"/>
        <v>19</v>
      </c>
    </row>
    <row r="18" spans="1:27" ht="18.600000000000001" customHeight="1" x14ac:dyDescent="0.25">
      <c r="A18" s="26" t="s">
        <v>16</v>
      </c>
      <c r="B18" s="59" t="s">
        <v>51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38">
        <f t="shared" si="0"/>
        <v>0</v>
      </c>
    </row>
    <row r="19" spans="1:27" ht="18.600000000000001" customHeight="1" x14ac:dyDescent="0.25">
      <c r="A19" s="26" t="s">
        <v>17</v>
      </c>
      <c r="B19" s="59" t="s">
        <v>52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38">
        <f t="shared" si="0"/>
        <v>0</v>
      </c>
    </row>
    <row r="20" spans="1:27" ht="18.600000000000001" customHeight="1" x14ac:dyDescent="0.25">
      <c r="A20" s="26" t="s">
        <v>18</v>
      </c>
      <c r="B20" s="13">
        <v>1</v>
      </c>
      <c r="C20" s="14"/>
      <c r="D20" s="28">
        <v>1</v>
      </c>
      <c r="E20" s="28">
        <v>1</v>
      </c>
      <c r="F20" s="28">
        <v>3</v>
      </c>
      <c r="G20" s="29">
        <v>1</v>
      </c>
      <c r="H20" s="13"/>
      <c r="I20" s="30">
        <v>1</v>
      </c>
      <c r="J20" s="13">
        <v>1</v>
      </c>
      <c r="K20" s="21">
        <v>1</v>
      </c>
      <c r="L20" s="13">
        <v>3</v>
      </c>
      <c r="M20" s="13" t="s">
        <v>44</v>
      </c>
      <c r="N20" s="13">
        <v>1</v>
      </c>
      <c r="O20" s="21">
        <v>1</v>
      </c>
      <c r="P20" s="13">
        <v>1</v>
      </c>
      <c r="Q20" s="13">
        <v>1</v>
      </c>
      <c r="R20" s="13">
        <v>1</v>
      </c>
      <c r="S20" s="13">
        <v>1</v>
      </c>
      <c r="T20" s="13">
        <v>1</v>
      </c>
      <c r="U20" s="13">
        <v>1</v>
      </c>
      <c r="V20" s="13">
        <v>1</v>
      </c>
      <c r="W20" s="13">
        <v>1</v>
      </c>
      <c r="X20" s="13">
        <v>0</v>
      </c>
      <c r="Y20" s="13"/>
      <c r="Z20" s="13"/>
      <c r="AA20" s="38">
        <f t="shared" si="0"/>
        <v>23</v>
      </c>
    </row>
    <row r="21" spans="1:27" ht="18.600000000000001" customHeight="1" x14ac:dyDescent="0.25">
      <c r="A21" s="26" t="s">
        <v>19</v>
      </c>
      <c r="B21" s="59" t="s">
        <v>53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38">
        <f t="shared" si="0"/>
        <v>0</v>
      </c>
    </row>
    <row r="22" spans="1:27" s="31" customFormat="1" x14ac:dyDescent="0.25">
      <c r="E22" s="32"/>
      <c r="G22" s="33"/>
      <c r="K22" s="33"/>
      <c r="O22" s="33"/>
      <c r="P22" s="34"/>
    </row>
  </sheetData>
  <mergeCells count="10">
    <mergeCell ref="B16:Z16"/>
    <mergeCell ref="B18:Z18"/>
    <mergeCell ref="B19:Z19"/>
    <mergeCell ref="B21:Z21"/>
    <mergeCell ref="B2:Z2"/>
    <mergeCell ref="B4:Z4"/>
    <mergeCell ref="B5:Z5"/>
    <mergeCell ref="B13:Z13"/>
    <mergeCell ref="B14:Z14"/>
    <mergeCell ref="B15:Z15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Банки</vt:lpstr>
      <vt:lpstr>подсчет очков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Matvey</dc:creator>
  <cp:lastModifiedBy>Matvey</cp:lastModifiedBy>
  <dcterms:created xsi:type="dcterms:W3CDTF">2023-12-07T08:06:49Z</dcterms:created>
  <dcterms:modified xsi:type="dcterms:W3CDTF">2023-12-21T15:16:43Z</dcterms:modified>
</cp:coreProperties>
</file>